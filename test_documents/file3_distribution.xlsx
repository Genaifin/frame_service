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N:\Fund Group\Apps\MailMerge\SPGEX-B\Cash Distribution 6-18-25 - Investran\20250617_065217\"/>
    </mc:Choice>
  </mc:AlternateContent>
  <xr:revisionPtr revIDLastSave="0" documentId="8_{74310F97-1165-4FB6-83B5-888207602E9E}" xr6:coauthVersionLast="47" xr6:coauthVersionMax="47" xr10:uidLastSave="{00000000-0000-0000-0000-000000000000}"/>
  <bookViews>
    <workbookView xWindow="38280" yWindow="-165" windowWidth="38640" windowHeight="21120" xr2:uid="{00000000-000D-0000-FFFF-FFFF00000000}"/>
  </bookViews>
  <sheets>
    <sheet name="56707_Florida Atlantic Universi" sheetId="1" r:id="rId1"/>
    <sheet name="Definitions" sheetId="2" state="hidden" r:id="rId2"/>
  </sheets>
  <definedNames>
    <definedName name="Impact">#REF!</definedName>
    <definedName name="Impacts">#REF!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45076.8739699074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ngWaterfallHeader">'56707_Florida Atlantic Universi'!$E$13</definedName>
    <definedName name="lngWaterfallRowCarryPaidAB">'56707_Florida Atlantic Universi'!$E$19</definedName>
    <definedName name="lngWaterfallRowDistrCash">'56707_Florida Atlantic Universi'!$E$15</definedName>
    <definedName name="lngWaterfallRowROC">'56707_Florida Atlantic Universi'!$E$16</definedName>
    <definedName name="lngWaterfallRowSplitA">'56707_Florida Atlantic Universi'!$E$17</definedName>
    <definedName name="lngWaterfallRowSplitB">'56707_Florida Atlantic Universi'!$E$18</definedName>
    <definedName name="_xlnm.Print_Area" localSheetId="0">'56707_Florida Atlantic Universi'!$A$1:$M$42</definedName>
    <definedName name="rngBegBal226">'56707_Florida Atlantic Universi'!$E$21:$I$24</definedName>
    <definedName name="rngContribCumulative">'56707_Florida Atlantic Universi'!$B$10</definedName>
    <definedName name="rngContribFundAmount">'56707_Florida Atlantic Universi'!$B$11</definedName>
    <definedName name="rngContribLpCumulative">'56707_Florida Atlantic Universi'!$B$19</definedName>
    <definedName name="rngContribLpCumulative219">'56707_Florida Atlantic Universi'!$B$27</definedName>
    <definedName name="rngContribLpInvestor">'56707_Florida Atlantic Universi'!$B$29</definedName>
    <definedName name="rngDistribCumulative">'56707_Florida Atlantic Universi'!$C$10</definedName>
    <definedName name="rngDistribFundAmount">'56707_Florida Atlantic Universi'!$C$11</definedName>
    <definedName name="rngDistribLpCumulative">'56707_Florida Atlantic Universi'!$B$20</definedName>
    <definedName name="rngDistribLpCumulative219">'56707_Florida Atlantic Universi'!$C$27</definedName>
    <definedName name="rngDistribLpInvestor">'56707_Florida Atlantic Universi'!$C$29</definedName>
    <definedName name="rngDueDate">'56707_Florida Atlantic Universi'!$B$5</definedName>
    <definedName name="rngFeeOffset">'56707_Florida Atlantic Universi'!$F$9</definedName>
    <definedName name="rngFundLocalCurrency">'56707_Florida Atlantic Universi'!$B$6</definedName>
    <definedName name="rngFundSizeAivs">'56707_Florida Atlantic Universi'!$B$8</definedName>
    <definedName name="rngGpCommitment">'56707_Florida Atlantic Universi'!$B$7</definedName>
    <definedName name="rngGrossCalc">'56707_Florida Atlantic Universi'!$F$7</definedName>
    <definedName name="rngImpact2172">'56707_Florida Atlantic Universi'!$F$37</definedName>
    <definedName name="rngImpact2173">'56707_Florida Atlantic Universi'!$G$37</definedName>
    <definedName name="rngInvestorDetail">'56707_Florida Atlantic Universi'!$A$39</definedName>
    <definedName name="rngIssueDate">'56707_Florida Atlantic Universi'!$B$4</definedName>
    <definedName name="rngLegalEntity">'56707_Florida Atlantic Universi'!$B$2</definedName>
    <definedName name="rngLimitedPartnerCommitment">'56707_Florida Atlantic Universi'!$B$15</definedName>
    <definedName name="rngLimitedPartnerName">'56707_Florida Atlantic Universi'!$B$14</definedName>
    <definedName name="rngLpUnfundedCommitment">'56707_Florida Atlantic Universi'!$B$18</definedName>
    <definedName name="rngMgmtFees">'56707_Florida Atlantic Universi'!$F$10</definedName>
    <definedName name="rngMgmtFeesCall">'56707_Florida Atlantic Universi'!$E$10</definedName>
    <definedName name="rngMgmtFeesCum">'56707_Florida Atlantic Universi'!$F$11</definedName>
    <definedName name="rngMgmtFeesHeader">'56707_Florida Atlantic Universi'!$E$4</definedName>
    <definedName name="rngMgmtFeesWaiver">'56707_Florida Atlantic Universi'!$F$8</definedName>
    <definedName name="rngSideCalcMgmtFee">'56707_Florida Atlantic Universi'!$E$4:$I$11</definedName>
    <definedName name="rngSideCalculations">'56707_Florida Atlantic Universi'!$E$1:$I$33</definedName>
    <definedName name="rngSideCalcWaterfall">'56707_Florida Atlantic Universi'!$E$13:$I$19</definedName>
    <definedName name="rngWaterfallGPs">'56707_Florida Atlantic Universi'!$H$14</definedName>
    <definedName name="rngWaterfallLPs">'56707_Florida Atlantic Universi'!$G$14</definedName>
    <definedName name="rngWaterfallTotal">'56707_Florida Atlantic Universi'!$I$14</definedName>
    <definedName name="rngWaterfallTrimmedName">'56707_Florida Atlantic Universi'!$F$14</definedName>
    <definedName name="TransTypes">#REF!</definedName>
    <definedName name="TransTypes_">#REF!</definedName>
    <definedName name="x">#REF!</definedName>
    <definedName name="Z_D84D8FBE_0A02_4866_89EF_EADD513AFFA0_.wvu.Cols" localSheetId="0" hidden="1">'56707_Florida Atlantic Universi'!$J:$L</definedName>
    <definedName name="Z_D84D8FBE_0A02_4866_89EF_EADD513AFFA0_.wvu.PrintArea" localSheetId="0" hidden="1">'56707_Florida Atlantic Universi'!$A$1:$M$42</definedName>
  </definedNames>
  <calcPr calcId="191029" iterate="1"/>
  <customWorkbookViews>
    <customWorkbookView name="Foley, Joseph - Personal View" guid="{D84D8FBE-0A02-4866-89EF-EADD513AFFA0}" mergeInterval="0" personalView="1" maximized="1" xWindow="2552" yWindow="-11" windowWidth="2576" windowHeight="1408" activeSheetId="1"/>
    <customWorkbookView name="MDeMatteis - Personal View" guid="{BB81038B-8845-440B-8041-2E0F9D934386}" mergeInterval="0" personalView="1" maximized="1" xWindow="1" yWindow="1" windowWidth="1280" windowHeight="731"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39" i="1" l="1"/>
  <c r="J40" i="1"/>
  <c r="J41" i="1"/>
  <c r="J42" i="1"/>
  <c r="K39" i="1"/>
  <c r="L39" i="1" s="1"/>
  <c r="K40" i="1"/>
  <c r="L40" i="1" s="1"/>
  <c r="K41" i="1"/>
  <c r="L41" i="1" s="1"/>
  <c r="K42" i="1"/>
  <c r="L42" i="1" s="1"/>
</calcChain>
</file>

<file path=xl/sharedStrings.xml><?xml version="1.0" encoding="utf-8"?>
<sst xmlns="http://schemas.openxmlformats.org/spreadsheetml/2006/main" count="125" uniqueCount="95">
  <si>
    <t>Contributions</t>
  </si>
  <si>
    <t>Aggregate Calls / Distributions</t>
  </si>
  <si>
    <t>(Distributions)</t>
  </si>
  <si>
    <t>as a % of Fund Amount</t>
  </si>
  <si>
    <r>
      <rPr>
        <b/>
        <sz val="10"/>
        <color indexed="10"/>
        <rFont val="Arial"/>
        <family val="2"/>
      </rPr>
      <t>2.4</t>
    </r>
    <r>
      <rPr>
        <sz val="10"/>
        <color indexed="8"/>
        <rFont val="Arial"/>
        <family val="2"/>
      </rPr>
      <t xml:space="preserve"> Fund Local Currency:</t>
    </r>
  </si>
  <si>
    <r>
      <rPr>
        <b/>
        <sz val="10"/>
        <color indexed="10"/>
        <rFont val="Arial"/>
        <family val="2"/>
      </rPr>
      <t>2.10</t>
    </r>
    <r>
      <rPr>
        <sz val="10"/>
        <color indexed="8"/>
        <rFont val="Arial"/>
        <family val="2"/>
      </rPr>
      <t xml:space="preserve"> Limited Partner Commitment:</t>
    </r>
  </si>
  <si>
    <r>
      <rPr>
        <b/>
        <sz val="10"/>
        <color indexed="10"/>
        <rFont val="Arial"/>
        <family val="2"/>
      </rPr>
      <t>2.15</t>
    </r>
    <r>
      <rPr>
        <b/>
        <sz val="10"/>
        <color indexed="8"/>
        <rFont val="Arial"/>
        <family val="2"/>
      </rPr>
      <t xml:space="preserve"> Transaction Type 
(Choose from Dropdown)</t>
    </r>
  </si>
  <si>
    <r>
      <rPr>
        <b/>
        <sz val="10"/>
        <color indexed="10"/>
        <rFont val="Arial"/>
        <family val="2"/>
      </rPr>
      <t>2.17</t>
    </r>
    <r>
      <rPr>
        <b/>
        <sz val="10"/>
        <color indexed="8"/>
        <rFont val="Arial"/>
        <family val="2"/>
      </rPr>
      <t xml:space="preserve"> Impact to Unfunded Commitment 
(Choose from Dropdown)</t>
    </r>
  </si>
  <si>
    <r>
      <rPr>
        <b/>
        <u/>
        <sz val="10"/>
        <color indexed="10"/>
        <rFont val="Arial"/>
        <family val="2"/>
      </rPr>
      <t>2.18</t>
    </r>
    <r>
      <rPr>
        <b/>
        <u/>
        <sz val="10"/>
        <color indexed="8"/>
        <rFont val="Arial"/>
        <family val="2"/>
      </rPr>
      <t xml:space="preserve"> Unfunded Commitment</t>
    </r>
  </si>
  <si>
    <r>
      <rPr>
        <b/>
        <sz val="10"/>
        <color indexed="10"/>
        <rFont val="Arial"/>
        <family val="2"/>
      </rPr>
      <t>2.16</t>
    </r>
    <r>
      <rPr>
        <b/>
        <sz val="10"/>
        <rFont val="Arial"/>
        <family val="2"/>
      </rPr>
      <t xml:space="preserve"> LP Amount 
(Enter all Values as Positive Amounts)</t>
    </r>
  </si>
  <si>
    <t>Transaction Type</t>
  </si>
  <si>
    <t>Call/Dist.</t>
  </si>
  <si>
    <t>Definition</t>
  </si>
  <si>
    <t>Call</t>
  </si>
  <si>
    <t>Call for investments in new or existing underlying holdings</t>
  </si>
  <si>
    <t>Call for periodic Mgmt. Fees/GP Distributions, net of any waivers or offsets (provide mgmt. fee calculation in the "Side Calculation" section)</t>
  </si>
  <si>
    <t>Call for Partnership / Fund Expenses, as defined in LPA</t>
  </si>
  <si>
    <t>Call for Organizational Costs, as defined in LPA</t>
  </si>
  <si>
    <t>Call for Legal Fees, as defined in LPA</t>
  </si>
  <si>
    <t>Call for miscellaneous expenses not listed above (provide a description of these expenses in the far left column of the worksheet)</t>
  </si>
  <si>
    <t>Interest due from LPs that committed to subsequent closing of fund</t>
  </si>
  <si>
    <t>Return of unused proceeds called for investments (typically increases unfunded commitment)</t>
  </si>
  <si>
    <t>Call from LPs, on behalf of GP's share of a capital call (typically serves as an offset to future management fees)</t>
  </si>
  <si>
    <t>Dist.</t>
  </si>
  <si>
    <t>Return of invested capital from the full or partial sale of an underlying holding</t>
  </si>
  <si>
    <t>Realized gain from the full or partial sale of an underlying holding</t>
  </si>
  <si>
    <t>Realized loss from the full or partial sale of an underlying holding</t>
  </si>
  <si>
    <t>Cost basis of a stock distribution</t>
  </si>
  <si>
    <t>Realized gain from a stock distribution</t>
  </si>
  <si>
    <t>Realized loss from a stock distribution</t>
  </si>
  <si>
    <t>Income or dividends earned from underlying holdings</t>
  </si>
  <si>
    <t>GP's share of distribution proceeds, as defined by the waterfall calculation in the LPA (offset to distribution)</t>
  </si>
  <si>
    <t>Return of excess carry distributed to GP, as defined by the waterfall calculation in the LPA (offset to Carry)</t>
  </si>
  <si>
    <t>Interest received from LPs that committed to subsequent closing of fund</t>
  </si>
  <si>
    <t>Miscellaneous distributions not otherwise defined above (provide a description of these expenses in the far left column of the worksheet)</t>
  </si>
  <si>
    <r>
      <rPr>
        <b/>
        <sz val="12"/>
        <color indexed="10"/>
        <rFont val="Arial"/>
        <family val="2"/>
      </rPr>
      <t>2.1</t>
    </r>
    <r>
      <rPr>
        <b/>
        <sz val="12"/>
        <color indexed="8"/>
        <rFont val="Arial"/>
        <family val="2"/>
      </rPr>
      <t xml:space="preserve"> Fund Name</t>
    </r>
  </si>
  <si>
    <t>Value Impact to Unfunded Commitment 
(Net Contributed)</t>
  </si>
  <si>
    <t>Net Amount Called / (Distributed) - Current Notice</t>
  </si>
  <si>
    <r>
      <rPr>
        <b/>
        <sz val="10"/>
        <color indexed="10"/>
        <rFont val="Arial"/>
        <family val="2"/>
      </rPr>
      <t>2.5</t>
    </r>
    <r>
      <rPr>
        <sz val="10"/>
        <color indexed="8"/>
        <rFont val="Arial"/>
        <family val="2"/>
      </rPr>
      <t xml:space="preserve"> General Partner Commitment (Includes Purchase and Carry Commitments):</t>
    </r>
  </si>
  <si>
    <r>
      <rPr>
        <b/>
        <sz val="10"/>
        <color indexed="10"/>
        <rFont val="Arial"/>
        <family val="2"/>
      </rPr>
      <t>2.6</t>
    </r>
    <r>
      <rPr>
        <sz val="10"/>
        <color indexed="8"/>
        <rFont val="Arial"/>
        <family val="2"/>
      </rPr>
      <t xml:space="preserve"> Fund Size, Including all AIVs:</t>
    </r>
  </si>
  <si>
    <r>
      <rPr>
        <b/>
        <sz val="10"/>
        <color indexed="10"/>
        <rFont val="Arial"/>
        <family val="2"/>
      </rPr>
      <t>2.9</t>
    </r>
    <r>
      <rPr>
        <sz val="10"/>
        <color indexed="8"/>
        <rFont val="Arial"/>
        <family val="2"/>
      </rPr>
      <t xml:space="preserve"> Limited Partner:</t>
    </r>
  </si>
  <si>
    <t>Limited Partner % of Fund (Limited Partner Commitment / Fund Size)</t>
  </si>
  <si>
    <t>Limited Partner % of Limited Partner Commitments (% used to calc. Limited Partner's share of call)</t>
  </si>
  <si>
    <r>
      <rPr>
        <b/>
        <sz val="10"/>
        <color indexed="10"/>
        <rFont val="Arial"/>
        <family val="2"/>
      </rPr>
      <t>2.2</t>
    </r>
    <r>
      <rPr>
        <sz val="10"/>
        <color indexed="8"/>
        <rFont val="Arial"/>
        <family val="2"/>
      </rPr>
      <t xml:space="preserve"> Issue Date (MM/DD/YYYY):</t>
    </r>
  </si>
  <si>
    <r>
      <rPr>
        <b/>
        <sz val="10"/>
        <color indexed="10"/>
        <rFont val="Arial"/>
        <family val="2"/>
      </rPr>
      <t>2.3</t>
    </r>
    <r>
      <rPr>
        <sz val="10"/>
        <color indexed="8"/>
        <rFont val="Arial"/>
        <family val="2"/>
      </rPr>
      <t xml:space="preserve"> Due Date (MM/DD/YYYY):</t>
    </r>
  </si>
  <si>
    <r>
      <rPr>
        <b/>
        <u/>
        <sz val="10"/>
        <color indexed="10"/>
        <rFont val="Arial"/>
        <family val="2"/>
      </rPr>
      <t xml:space="preserve">Section A: </t>
    </r>
    <r>
      <rPr>
        <b/>
        <u/>
        <sz val="10"/>
        <rFont val="Arial"/>
        <family val="2"/>
      </rPr>
      <t xml:space="preserve"> Fund Level  / Cash Flow Information</t>
    </r>
  </si>
  <si>
    <t>Fund Aggregate Calls / Distributions (Incl. General Partner's Share)</t>
  </si>
  <si>
    <t>Limited Partner Balances / Totals (Formula Driven)</t>
  </si>
  <si>
    <r>
      <rPr>
        <b/>
        <u/>
        <sz val="10"/>
        <color indexed="10"/>
        <rFont val="Arial"/>
        <family val="2"/>
      </rPr>
      <t>Section B:</t>
    </r>
    <r>
      <rPr>
        <b/>
        <u/>
        <sz val="10"/>
        <color indexed="9"/>
        <rFont val="Arial"/>
        <family val="2"/>
      </rPr>
      <t xml:space="preserve">  </t>
    </r>
    <r>
      <rPr>
        <b/>
        <u/>
        <sz val="10"/>
        <rFont val="Arial"/>
        <family val="2"/>
      </rPr>
      <t>Limited Partner Information (All Values Shown as Positive Amounts)</t>
    </r>
  </si>
  <si>
    <t>Unfunded Commitment Balance (Prior to Current Notice)</t>
  </si>
  <si>
    <t>Impact on Unfunded Commitment Balance (Current Notice)</t>
  </si>
  <si>
    <t>Unfunded Commitment Balance (Including Current Notice)</t>
  </si>
  <si>
    <r>
      <rPr>
        <b/>
        <sz val="10"/>
        <color indexed="10"/>
        <rFont val="Arial"/>
        <family val="2"/>
      </rPr>
      <t>2.19</t>
    </r>
    <r>
      <rPr>
        <sz val="10"/>
        <color indexed="8"/>
        <rFont val="Arial"/>
        <family val="2"/>
      </rPr>
      <t xml:space="preserve"> Cumulative Limited Partner Amount (Prior To Current Notice):</t>
    </r>
  </si>
  <si>
    <r>
      <rPr>
        <b/>
        <sz val="10"/>
        <color indexed="10"/>
        <rFont val="Arial"/>
        <family val="2"/>
      </rPr>
      <t>2.20</t>
    </r>
    <r>
      <rPr>
        <sz val="10"/>
        <color indexed="8"/>
        <rFont val="Arial"/>
        <family val="2"/>
      </rPr>
      <t xml:space="preserve"> Limited Partner Amount (Current Notice):</t>
    </r>
  </si>
  <si>
    <r>
      <rPr>
        <b/>
        <sz val="10"/>
        <color indexed="10"/>
        <rFont val="Arial"/>
        <family val="2"/>
      </rPr>
      <t>2.21</t>
    </r>
    <r>
      <rPr>
        <sz val="10"/>
        <color indexed="8"/>
        <rFont val="Arial"/>
        <family val="2"/>
      </rPr>
      <t xml:space="preserve"> Cumulative Limited Partner Amount (Including Current Notice):</t>
    </r>
  </si>
  <si>
    <r>
      <rPr>
        <b/>
        <sz val="10"/>
        <color indexed="10"/>
        <rFont val="Arial"/>
        <family val="2"/>
      </rPr>
      <t>Section C:</t>
    </r>
    <r>
      <rPr>
        <b/>
        <sz val="10"/>
        <color indexed="9"/>
        <rFont val="Arial"/>
        <family val="2"/>
      </rPr>
      <t xml:space="preserve">  </t>
    </r>
    <r>
      <rPr>
        <b/>
        <sz val="10"/>
        <rFont val="Arial"/>
        <family val="2"/>
      </rPr>
      <t>Worksheet - LP Amounts - (Includes any transactions that net to zero)</t>
    </r>
  </si>
  <si>
    <r>
      <rPr>
        <b/>
        <sz val="10"/>
        <color indexed="10"/>
        <rFont val="Arial"/>
        <family val="2"/>
      </rPr>
      <t>2.12</t>
    </r>
    <r>
      <rPr>
        <sz val="10"/>
        <color indexed="8"/>
        <rFont val="Arial"/>
        <family val="2"/>
      </rPr>
      <t xml:space="preserve"> Limited Partner Cumulative Contributions</t>
    </r>
    <r>
      <rPr>
        <vertAlign val="superscript"/>
        <sz val="10"/>
        <color rgb="FF000000"/>
        <rFont val="Arial"/>
        <family val="2"/>
      </rPr>
      <t>2,3</t>
    </r>
    <r>
      <rPr>
        <sz val="10"/>
        <color indexed="8"/>
        <rFont val="Arial"/>
        <family val="2"/>
      </rPr>
      <t xml:space="preserve"> (Prior to current notice)</t>
    </r>
  </si>
  <si>
    <r>
      <rPr>
        <b/>
        <sz val="10"/>
        <color indexed="10"/>
        <rFont val="Arial"/>
        <family val="2"/>
      </rPr>
      <t>2.11</t>
    </r>
    <r>
      <rPr>
        <sz val="10"/>
        <color indexed="8"/>
        <rFont val="Arial"/>
        <family val="2"/>
      </rPr>
      <t xml:space="preserve"> Limited Partner Unfunded Commitment</t>
    </r>
    <r>
      <rPr>
        <vertAlign val="superscript"/>
        <sz val="10"/>
        <color rgb="FF000000"/>
        <rFont val="Arial"/>
        <family val="2"/>
      </rPr>
      <t>2</t>
    </r>
    <r>
      <rPr>
        <sz val="10"/>
        <color indexed="8"/>
        <rFont val="Arial"/>
        <family val="2"/>
      </rPr>
      <t xml:space="preserve"> (Prior to current notice)</t>
    </r>
  </si>
  <si>
    <r>
      <rPr>
        <b/>
        <sz val="10"/>
        <color indexed="10"/>
        <rFont val="Arial"/>
        <family val="2"/>
      </rPr>
      <t>2.13</t>
    </r>
    <r>
      <rPr>
        <sz val="10"/>
        <color indexed="8"/>
        <rFont val="Arial"/>
        <family val="2"/>
      </rPr>
      <t xml:space="preserve"> Limited Partner Cumulative Distributions</t>
    </r>
    <r>
      <rPr>
        <vertAlign val="superscript"/>
        <sz val="10"/>
        <color rgb="FF000000"/>
        <rFont val="Arial"/>
        <family val="2"/>
      </rPr>
      <t>2,3</t>
    </r>
    <r>
      <rPr>
        <sz val="10"/>
        <color indexed="8"/>
        <rFont val="Arial"/>
        <family val="2"/>
      </rPr>
      <t xml:space="preserve"> (Prior to current notice)</t>
    </r>
  </si>
  <si>
    <r>
      <t>Capital Call &amp; Distribution Supplemental ILPA Notice</t>
    </r>
    <r>
      <rPr>
        <b/>
        <vertAlign val="superscript"/>
        <sz val="14"/>
        <rFont val="Arial"/>
        <family val="2"/>
      </rPr>
      <t>1</t>
    </r>
  </si>
  <si>
    <t>Call: Investments</t>
  </si>
  <si>
    <t>Call: Management Fees</t>
  </si>
  <si>
    <t>Call: Partnership Expenses</t>
  </si>
  <si>
    <t>Call: Org. Costs</t>
  </si>
  <si>
    <t>Call: Legal Fees</t>
  </si>
  <si>
    <t>Call: Other Exp. (Provide explanation in far-left column)</t>
  </si>
  <si>
    <t>Call: Subsequent Close Interest</t>
  </si>
  <si>
    <t>Call: Return of Excess Capital Called</t>
  </si>
  <si>
    <t>Call: Waiver Contributions</t>
  </si>
  <si>
    <t>Call: Placement Fees</t>
  </si>
  <si>
    <t>Dist: Return of Capital - Cash</t>
  </si>
  <si>
    <t>Dist: Realized Gain - Cash</t>
  </si>
  <si>
    <t>Dist: Realized Loss - Cash</t>
  </si>
  <si>
    <t>Dist: Return of Capital - Stock</t>
  </si>
  <si>
    <t>Dist: Realized Gain - Stock</t>
  </si>
  <si>
    <t>Dist: Realized Loss - Stock</t>
  </si>
  <si>
    <t>Dist: Income/Dividends</t>
  </si>
  <si>
    <t>Dist: Carry</t>
  </si>
  <si>
    <t>Dist: Clawback</t>
  </si>
  <si>
    <t>Dist: Subsequent Close Interest</t>
  </si>
  <si>
    <t>Dist: Other (Provide explanation in far-left column)</t>
  </si>
  <si>
    <r>
      <t>Cumulative Fund Amount (Including Current Notice)</t>
    </r>
    <r>
      <rPr>
        <vertAlign val="superscript"/>
        <sz val="10"/>
        <color theme="1"/>
        <rFont val="Arial"/>
        <family val="2"/>
      </rPr>
      <t>3,4</t>
    </r>
    <r>
      <rPr>
        <sz val="10"/>
        <color theme="1"/>
        <rFont val="Arial"/>
        <family val="2"/>
      </rPr>
      <t>:</t>
    </r>
  </si>
  <si>
    <r>
      <rPr>
        <b/>
        <sz val="10"/>
        <color indexed="10"/>
        <rFont val="Arial"/>
        <family val="2"/>
      </rPr>
      <t>2.7</t>
    </r>
    <r>
      <rPr>
        <sz val="10"/>
        <color indexed="8"/>
        <rFont val="Arial"/>
        <family val="2"/>
      </rPr>
      <t xml:space="preserve"> Cumulative Fund Amount (Prior To Current Notice)</t>
    </r>
    <r>
      <rPr>
        <vertAlign val="superscript"/>
        <sz val="10"/>
        <color rgb="FF000000"/>
        <rFont val="Arial"/>
        <family val="2"/>
      </rPr>
      <t>2,3,4,</t>
    </r>
    <r>
      <rPr>
        <sz val="10"/>
        <color indexed="8"/>
        <rFont val="Arial"/>
        <family val="2"/>
      </rPr>
      <t>:</t>
    </r>
  </si>
  <si>
    <r>
      <rPr>
        <vertAlign val="superscript"/>
        <sz val="10"/>
        <color theme="1"/>
        <rFont val="Arial"/>
        <family val="2"/>
      </rPr>
      <t>1</t>
    </r>
    <r>
      <rPr>
        <sz val="10"/>
        <color theme="1"/>
        <rFont val="Arial"/>
        <family val="2"/>
      </rPr>
      <t xml:space="preserve">All amounts are in Fund Local Currency unless noted otherwise and may include fractional dollar amounts. The summation of individual amounts listed on this notice may vary by 1 due to rounding of fractional dollar amounts.
</t>
    </r>
    <r>
      <rPr>
        <vertAlign val="superscript"/>
        <sz val="10"/>
        <color theme="1"/>
        <rFont val="Arial"/>
        <family val="2"/>
      </rPr>
      <t>2</t>
    </r>
    <r>
      <rPr>
        <sz val="10"/>
        <color theme="1"/>
        <rFont val="Arial"/>
        <family val="2"/>
      </rPr>
      <t xml:space="preserve">If value does not match ending balance from prior notice, see the applicable footnote below for details on the applicable variance.
 Please note that individual amounts may vary from prior notice and internally due to rounding.
</t>
    </r>
    <r>
      <rPr>
        <vertAlign val="superscript"/>
        <sz val="10"/>
        <color theme="1"/>
        <rFont val="Arial"/>
        <family val="2"/>
      </rPr>
      <t>3</t>
    </r>
    <r>
      <rPr>
        <sz val="10"/>
        <color theme="1"/>
        <rFont val="Arial"/>
        <family val="2"/>
      </rPr>
      <t xml:space="preserve">Due to variations in the definitions used by different funds, these balances may not necessarily tie to cumulative contributions/distributions reported in quarterly fund financials; Do not use these balances to calculate performance multiples (e.g. DPI).
</t>
    </r>
    <r>
      <rPr>
        <vertAlign val="superscript"/>
        <sz val="10"/>
        <color theme="1"/>
        <rFont val="Arial"/>
        <family val="2"/>
      </rPr>
      <t>4</t>
    </r>
    <r>
      <rPr>
        <sz val="10"/>
        <color theme="1"/>
        <rFont val="Arial"/>
        <family val="2"/>
      </rPr>
      <t xml:space="preserve">Cumulative Fund Amount of Distributions may differ from that reported on the balance sheet of the quarterly fund financials due to special general partner distributions.  For more information on special general partner distributions, please refer to the "Compensation for the General Partner" footnote within the quarterly fund financials.
</t>
    </r>
  </si>
  <si>
    <r>
      <rPr>
        <b/>
        <sz val="12"/>
        <color indexed="10"/>
        <rFont val="Arial"/>
        <family val="2"/>
      </rPr>
      <t>2.22</t>
    </r>
    <r>
      <rPr>
        <b/>
        <sz val="12"/>
        <color indexed="8"/>
        <rFont val="Arial"/>
        <family val="2"/>
      </rPr>
      <t xml:space="preserve"> Limited Partner Total Net Amount Called / (Distributed) - Current Notice</t>
    </r>
  </si>
  <si>
    <r>
      <rPr>
        <b/>
        <sz val="10"/>
        <color indexed="10"/>
        <rFont val="Arial"/>
        <family val="2"/>
      </rPr>
      <t>2.8</t>
    </r>
    <r>
      <rPr>
        <sz val="10"/>
        <color indexed="8"/>
        <rFont val="Arial"/>
        <family val="2"/>
      </rPr>
      <t xml:space="preserve"> Fund Amount (Current Notice)</t>
    </r>
  </si>
  <si>
    <r>
      <rPr>
        <b/>
        <sz val="10"/>
        <color indexed="10"/>
        <rFont val="Arial"/>
        <family val="2"/>
      </rPr>
      <t>2.14</t>
    </r>
    <r>
      <rPr>
        <b/>
        <sz val="10"/>
        <color indexed="8"/>
        <rFont val="Arial"/>
        <family val="2"/>
      </rPr>
      <t xml:space="preserve"> Holding Name / Transaction Description</t>
    </r>
  </si>
  <si>
    <t>Summit Partners Growth Equity Fund X-B, L.P.</t>
  </si>
  <si>
    <t>USD</t>
  </si>
  <si>
    <t>Florida Atlantic University Foundation, Inc.</t>
  </si>
  <si>
    <t>General Partner Distribution - Carry</t>
  </si>
  <si>
    <t>Decreases</t>
  </si>
  <si>
    <t>General Partner Distribution - Recouped</t>
  </si>
  <si>
    <t>VaxCare Corp.</t>
  </si>
  <si>
    <t>Increases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</si>
</sst>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mmmm\ d\,\ yyyy;@"/>
  </numFmts>
  <fonts count="31" x14ac:knownFonts="1">
    <font>
      <sz val="11"/>
      <color theme="1"/>
      <name val="Calibri"/>
      <family val="2"/>
      <scheme val="minor"/>
    </font>
    <font>
      <sz val="10"/>
      <color indexed="8"/>
      <name val="Arial"/>
      <family val="2"/>
    </font>
    <font>
      <b/>
      <u/>
      <sz val="10"/>
      <color indexed="9"/>
      <name val="Arial"/>
      <family val="2"/>
    </font>
    <font>
      <b/>
      <sz val="10"/>
      <color indexed="9"/>
      <name val="Arial"/>
      <family val="2"/>
    </font>
    <font>
      <b/>
      <u/>
      <sz val="10"/>
      <color indexed="10"/>
      <name val="Arial"/>
      <family val="2"/>
    </font>
    <font>
      <b/>
      <sz val="10"/>
      <color indexed="10"/>
      <name val="Arial"/>
      <family val="2"/>
    </font>
    <font>
      <b/>
      <sz val="10"/>
      <color indexed="8"/>
      <name val="Arial"/>
      <family val="2"/>
    </font>
    <font>
      <b/>
      <u/>
      <sz val="10"/>
      <color indexed="8"/>
      <name val="Arial"/>
      <family val="2"/>
    </font>
    <font>
      <b/>
      <sz val="12"/>
      <color indexed="8"/>
      <name val="Arial"/>
      <family val="2"/>
    </font>
    <font>
      <b/>
      <sz val="12"/>
      <color indexed="10"/>
      <name val="Arial"/>
      <family val="2"/>
    </font>
    <font>
      <b/>
      <sz val="10"/>
      <name val="Arial"/>
      <family val="2"/>
    </font>
    <font>
      <sz val="11"/>
      <color indexed="8"/>
      <name val="Calibri"/>
      <family val="2"/>
    </font>
    <font>
      <sz val="10"/>
      <color indexed="8"/>
      <name val="Arial"/>
      <family val="2"/>
    </font>
    <font>
      <b/>
      <sz val="10"/>
      <color indexed="8"/>
      <name val="Arial"/>
      <family val="2"/>
    </font>
    <font>
      <b/>
      <u/>
      <sz val="10"/>
      <color indexed="8"/>
      <name val="Arial"/>
      <family val="2"/>
    </font>
    <font>
      <b/>
      <u/>
      <sz val="12"/>
      <color indexed="8"/>
      <name val="Arial"/>
      <family val="2"/>
    </font>
    <font>
      <b/>
      <sz val="10"/>
      <color indexed="9"/>
      <name val="Arial"/>
      <family val="2"/>
    </font>
    <font>
      <b/>
      <sz val="11"/>
      <color indexed="8"/>
      <name val="Calibri"/>
      <family val="2"/>
    </font>
    <font>
      <sz val="11"/>
      <color theme="1"/>
      <name val="Calibri"/>
      <family val="2"/>
      <scheme val="minor"/>
    </font>
    <font>
      <b/>
      <sz val="10"/>
      <color theme="1"/>
      <name val="Arial"/>
      <family val="2"/>
    </font>
    <font>
      <b/>
      <sz val="12"/>
      <color theme="1"/>
      <name val="Arial"/>
      <family val="2"/>
    </font>
    <font>
      <b/>
      <u/>
      <sz val="10"/>
      <color theme="0"/>
      <name val="Arial"/>
      <family val="2"/>
    </font>
    <font>
      <sz val="10"/>
      <color theme="1"/>
      <name val="Arial"/>
      <family val="2"/>
    </font>
    <font>
      <b/>
      <u/>
      <sz val="10"/>
      <color theme="1"/>
      <name val="Arial"/>
      <family val="2"/>
    </font>
    <font>
      <b/>
      <sz val="11.5"/>
      <color theme="1"/>
      <name val="Arial"/>
      <family val="2"/>
    </font>
    <font>
      <b/>
      <u/>
      <sz val="10"/>
      <name val="Arial"/>
      <family val="2"/>
    </font>
    <font>
      <sz val="8"/>
      <color theme="1"/>
      <name val="Arial"/>
      <family val="2"/>
    </font>
    <font>
      <vertAlign val="superscript"/>
      <sz val="10"/>
      <color rgb="FF000000"/>
      <name val="Arial"/>
      <family val="2"/>
    </font>
    <font>
      <vertAlign val="superscript"/>
      <sz val="10"/>
      <color theme="1"/>
      <name val="Arial"/>
      <family val="2"/>
    </font>
    <font>
      <b/>
      <sz val="14"/>
      <name val="Arial"/>
      <family val="2"/>
    </font>
    <font>
      <b/>
      <vertAlign val="superscript"/>
      <sz val="14"/>
      <name val="Arial"/>
      <family val="2"/>
    </font>
  </fonts>
  <fills count="8">
    <fill>
      <patternFill patternType="none"/>
    </fill>
    <fill>
      <patternFill patternType="gray125"/>
    </fill>
    <fill>
      <patternFill patternType="solid">
        <fgColor indexed="2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top style="thin">
        <color indexed="64"/>
      </top>
      <bottom style="medium">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5">
    <xf numFmtId="0" fontId="0" fillId="0" borderId="0"/>
    <xf numFmtId="43" fontId="11" fillId="0" borderId="0" applyFon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cellStyleXfs>
  <cellXfs count="112">
    <xf numFmtId="0" fontId="0" fillId="0" borderId="0" xfId="0"/>
    <xf numFmtId="0" fontId="17" fillId="0" borderId="0" xfId="0" applyFont="1" applyAlignment="1">
      <alignment horizontal="center"/>
    </xf>
    <xf numFmtId="0" fontId="1" fillId="0" borderId="1" xfId="0" applyFont="1" applyBorder="1" applyAlignment="1">
      <alignment horizontal="left"/>
    </xf>
    <xf numFmtId="0" fontId="0" fillId="0" borderId="1" xfId="0" applyBorder="1"/>
    <xf numFmtId="0" fontId="13" fillId="0" borderId="0" xfId="0" applyFont="1" applyAlignment="1" applyProtection="1">
      <alignment horizontal="center" vertical="center"/>
      <protection hidden="1"/>
    </xf>
    <xf numFmtId="0" fontId="13" fillId="0" borderId="0" xfId="0" applyFont="1" applyProtection="1">
      <protection hidden="1"/>
    </xf>
    <xf numFmtId="164" fontId="12" fillId="0" borderId="0" xfId="1" applyNumberFormat="1" applyFont="1" applyFill="1" applyBorder="1" applyProtection="1">
      <protection hidden="1"/>
    </xf>
    <xf numFmtId="0" fontId="12" fillId="0" borderId="0" xfId="0" applyFont="1" applyProtection="1">
      <protection hidden="1"/>
    </xf>
    <xf numFmtId="164" fontId="12" fillId="0" borderId="0" xfId="1" applyNumberFormat="1" applyFont="1" applyProtection="1">
      <protection hidden="1"/>
    </xf>
    <xf numFmtId="0" fontId="13" fillId="0" borderId="0" xfId="0" applyFont="1" applyAlignment="1" applyProtection="1">
      <alignment horizontal="center"/>
      <protection hidden="1"/>
    </xf>
    <xf numFmtId="164" fontId="13" fillId="0" borderId="0" xfId="1" applyNumberFormat="1" applyFont="1" applyFill="1" applyBorder="1" applyAlignment="1" applyProtection="1">
      <alignment horizontal="center" wrapText="1"/>
      <protection hidden="1"/>
    </xf>
    <xf numFmtId="37" fontId="12" fillId="0" borderId="0" xfId="1" applyNumberFormat="1" applyFont="1" applyFill="1" applyBorder="1" applyAlignment="1" applyProtection="1">
      <alignment horizontal="right"/>
      <protection hidden="1"/>
    </xf>
    <xf numFmtId="39" fontId="12" fillId="0" borderId="0" xfId="1" applyNumberFormat="1" applyFont="1" applyFill="1" applyBorder="1" applyAlignment="1" applyProtection="1">
      <alignment horizontal="right"/>
      <protection hidden="1"/>
    </xf>
    <xf numFmtId="43" fontId="12" fillId="0" borderId="0" xfId="1" applyFont="1" applyProtection="1">
      <protection hidden="1"/>
    </xf>
    <xf numFmtId="164" fontId="12" fillId="0" borderId="0" xfId="1" applyNumberFormat="1" applyFont="1" applyFill="1" applyBorder="1" applyAlignment="1" applyProtection="1">
      <alignment horizontal="right"/>
      <protection hidden="1"/>
    </xf>
    <xf numFmtId="164" fontId="12" fillId="0" borderId="0" xfId="1" applyNumberFormat="1" applyFont="1" applyFill="1" applyProtection="1">
      <protection hidden="1"/>
    </xf>
    <xf numFmtId="0" fontId="14" fillId="6" borderId="0" xfId="0" applyFont="1" applyFill="1" applyAlignment="1" applyProtection="1">
      <alignment horizontal="center"/>
      <protection hidden="1"/>
    </xf>
    <xf numFmtId="0" fontId="14" fillId="6" borderId="4" xfId="0" applyFont="1" applyFill="1" applyBorder="1" applyAlignment="1" applyProtection="1">
      <alignment horizontal="center"/>
      <protection hidden="1"/>
    </xf>
    <xf numFmtId="0" fontId="1" fillId="0" borderId="0" xfId="0" applyFont="1" applyProtection="1">
      <protection locked="0"/>
    </xf>
    <xf numFmtId="164" fontId="1" fillId="0" borderId="0" xfId="1" applyNumberFormat="1" applyFont="1" applyProtection="1">
      <protection locked="0"/>
    </xf>
    <xf numFmtId="0" fontId="22" fillId="6" borderId="9" xfId="0" applyFont="1" applyFill="1" applyBorder="1" applyProtection="1">
      <protection hidden="1"/>
    </xf>
    <xf numFmtId="0" fontId="22" fillId="6" borderId="8" xfId="0" applyFont="1" applyFill="1" applyBorder="1" applyProtection="1">
      <protection hidden="1"/>
    </xf>
    <xf numFmtId="0" fontId="22" fillId="6" borderId="12" xfId="0" applyFont="1" applyFill="1" applyBorder="1" applyProtection="1">
      <protection hidden="1"/>
    </xf>
    <xf numFmtId="0" fontId="23" fillId="6" borderId="8" xfId="0" applyFont="1" applyFill="1" applyBorder="1" applyAlignment="1" applyProtection="1">
      <alignment horizontal="left"/>
      <protection hidden="1"/>
    </xf>
    <xf numFmtId="164" fontId="22" fillId="5" borderId="5" xfId="1" applyNumberFormat="1" applyFont="1" applyFill="1" applyBorder="1" applyAlignment="1" applyProtection="1">
      <protection hidden="1"/>
    </xf>
    <xf numFmtId="164" fontId="22" fillId="5" borderId="6" xfId="1" applyNumberFormat="1" applyFont="1" applyFill="1" applyBorder="1" applyAlignment="1" applyProtection="1">
      <protection hidden="1"/>
    </xf>
    <xf numFmtId="0" fontId="22" fillId="6" borderId="13" xfId="0" applyFont="1" applyFill="1" applyBorder="1" applyProtection="1">
      <protection hidden="1"/>
    </xf>
    <xf numFmtId="164" fontId="22" fillId="3" borderId="14" xfId="1" applyNumberFormat="1" applyFont="1" applyFill="1" applyBorder="1" applyAlignment="1" applyProtection="1">
      <alignment horizontal="right"/>
      <protection hidden="1"/>
    </xf>
    <xf numFmtId="164" fontId="22" fillId="3" borderId="15" xfId="1" applyNumberFormat="1" applyFont="1" applyFill="1" applyBorder="1" applyAlignment="1" applyProtection="1">
      <alignment horizontal="right"/>
      <protection hidden="1"/>
    </xf>
    <xf numFmtId="0" fontId="23" fillId="6" borderId="9" xfId="0" applyFont="1" applyFill="1" applyBorder="1" applyProtection="1">
      <protection hidden="1"/>
    </xf>
    <xf numFmtId="38" fontId="22" fillId="6" borderId="10" xfId="0" applyNumberFormat="1" applyFont="1" applyFill="1" applyBorder="1" applyAlignment="1" applyProtection="1">
      <alignment horizontal="right"/>
      <protection hidden="1"/>
    </xf>
    <xf numFmtId="38" fontId="22" fillId="6" borderId="11" xfId="0" applyNumberFormat="1" applyFont="1" applyFill="1" applyBorder="1" applyAlignment="1" applyProtection="1">
      <alignment horizontal="right"/>
      <protection hidden="1"/>
    </xf>
    <xf numFmtId="0" fontId="23" fillId="6" borderId="10" xfId="0" applyFont="1" applyFill="1" applyBorder="1" applyAlignment="1" applyProtection="1">
      <alignment horizontal="center"/>
      <protection hidden="1"/>
    </xf>
    <xf numFmtId="0" fontId="23" fillId="6" borderId="11" xfId="0" applyFont="1" applyFill="1" applyBorder="1" applyAlignment="1" applyProtection="1">
      <alignment horizontal="center"/>
      <protection hidden="1"/>
    </xf>
    <xf numFmtId="0" fontId="22" fillId="6" borderId="12" xfId="0" applyFont="1" applyFill="1" applyBorder="1" applyAlignment="1" applyProtection="1">
      <alignment horizontal="center"/>
      <protection hidden="1"/>
    </xf>
    <xf numFmtId="10" fontId="22" fillId="3" borderId="5" xfId="3" applyNumberFormat="1" applyFont="1" applyFill="1" applyBorder="1" applyAlignment="1" applyProtection="1">
      <alignment horizontal="right"/>
      <protection hidden="1"/>
    </xf>
    <xf numFmtId="10" fontId="22" fillId="3" borderId="6" xfId="3" applyNumberFormat="1" applyFont="1" applyFill="1" applyBorder="1" applyAlignment="1" applyProtection="1">
      <alignment horizontal="right"/>
      <protection hidden="1"/>
    </xf>
    <xf numFmtId="0" fontId="22" fillId="6" borderId="30" xfId="0" applyFont="1" applyFill="1" applyBorder="1" applyProtection="1">
      <protection hidden="1"/>
    </xf>
    <xf numFmtId="164" fontId="22" fillId="3" borderId="5" xfId="2" applyNumberFormat="1" applyFont="1" applyFill="1" applyBorder="1" applyAlignment="1" applyProtection="1">
      <alignment horizontal="right"/>
      <protection hidden="1"/>
    </xf>
    <xf numFmtId="164" fontId="22" fillId="3" borderId="6" xfId="2" applyNumberFormat="1" applyFont="1" applyFill="1" applyBorder="1" applyAlignment="1" applyProtection="1">
      <alignment horizontal="right"/>
      <protection hidden="1"/>
    </xf>
    <xf numFmtId="0" fontId="22" fillId="6" borderId="8" xfId="0" applyFont="1" applyFill="1" applyBorder="1" applyAlignment="1" applyProtection="1">
      <alignment horizontal="left"/>
      <protection hidden="1"/>
    </xf>
    <xf numFmtId="0" fontId="22" fillId="6" borderId="13" xfId="0" applyFont="1" applyFill="1" applyBorder="1" applyAlignment="1" applyProtection="1">
      <alignment horizontal="center"/>
      <protection hidden="1"/>
    </xf>
    <xf numFmtId="10" fontId="22" fillId="3" borderId="14" xfId="3" applyNumberFormat="1" applyFont="1" applyFill="1" applyBorder="1" applyAlignment="1" applyProtection="1">
      <alignment horizontal="right"/>
      <protection hidden="1"/>
    </xf>
    <xf numFmtId="10" fontId="22" fillId="3" borderId="15" xfId="3" applyNumberFormat="1" applyFont="1" applyFill="1" applyBorder="1" applyAlignment="1" applyProtection="1">
      <alignment horizontal="right"/>
      <protection hidden="1"/>
    </xf>
    <xf numFmtId="0" fontId="20" fillId="6" borderId="17" xfId="0" applyFont="1" applyFill="1" applyBorder="1" applyAlignment="1" applyProtection="1">
      <alignment vertical="center" wrapText="1"/>
      <protection hidden="1"/>
    </xf>
    <xf numFmtId="10" fontId="22" fillId="0" borderId="0" xfId="4" applyNumberFormat="1" applyFont="1" applyFill="1" applyBorder="1" applyAlignment="1" applyProtection="1">
      <alignment horizontal="right"/>
      <protection hidden="1"/>
    </xf>
    <xf numFmtId="0" fontId="20" fillId="0" borderId="0" xfId="0" applyFont="1" applyAlignment="1" applyProtection="1">
      <alignment horizontal="center" vertical="center" wrapText="1"/>
      <protection hidden="1"/>
    </xf>
    <xf numFmtId="39" fontId="24" fillId="0" borderId="0" xfId="0" applyNumberFormat="1" applyFont="1" applyAlignment="1" applyProtection="1">
      <alignment horizontal="center" vertical="center"/>
      <protection hidden="1"/>
    </xf>
    <xf numFmtId="164" fontId="22" fillId="0" borderId="0" xfId="2" applyNumberFormat="1" applyFont="1" applyFill="1" applyBorder="1" applyProtection="1">
      <protection hidden="1"/>
    </xf>
    <xf numFmtId="0" fontId="19" fillId="0" borderId="0" xfId="0" applyFont="1" applyProtection="1">
      <protection hidden="1"/>
    </xf>
    <xf numFmtId="0" fontId="26" fillId="0" borderId="0" xfId="0" applyFont="1" applyAlignment="1" applyProtection="1">
      <alignment horizontal="center"/>
      <protection hidden="1"/>
    </xf>
    <xf numFmtId="0" fontId="22" fillId="5" borderId="2" xfId="0" applyFont="1" applyFill="1" applyBorder="1" applyAlignment="1" applyProtection="1">
      <alignment wrapText="1"/>
      <protection hidden="1"/>
    </xf>
    <xf numFmtId="0" fontId="22" fillId="5" borderId="1" xfId="0" applyFont="1" applyFill="1" applyBorder="1" applyProtection="1">
      <protection hidden="1"/>
    </xf>
    <xf numFmtId="0" fontId="22" fillId="0" borderId="0" xfId="0" applyFont="1" applyProtection="1">
      <protection hidden="1"/>
    </xf>
    <xf numFmtId="4" fontId="22" fillId="0" borderId="0" xfId="0" applyNumberFormat="1" applyFont="1" applyProtection="1">
      <protection hidden="1"/>
    </xf>
    <xf numFmtId="0" fontId="22" fillId="0" borderId="0" xfId="0" applyFont="1" applyAlignment="1" applyProtection="1">
      <alignment horizontal="center"/>
      <protection hidden="1"/>
    </xf>
    <xf numFmtId="0" fontId="16" fillId="0" borderId="0" xfId="0" applyFont="1" applyAlignment="1" applyProtection="1">
      <alignment horizontal="center" vertical="center"/>
      <protection hidden="1"/>
    </xf>
    <xf numFmtId="0" fontId="19" fillId="0" borderId="0" xfId="0" applyFont="1" applyAlignment="1" applyProtection="1">
      <alignment horizontal="center" wrapText="1"/>
      <protection hidden="1"/>
    </xf>
    <xf numFmtId="39" fontId="22" fillId="0" borderId="0" xfId="2" applyNumberFormat="1" applyFont="1" applyFill="1" applyBorder="1" applyProtection="1">
      <protection hidden="1"/>
    </xf>
    <xf numFmtId="37" fontId="22" fillId="5" borderId="3" xfId="2" applyNumberFormat="1" applyFont="1" applyFill="1" applyBorder="1" applyProtection="1">
      <protection hidden="1"/>
    </xf>
    <xf numFmtId="0" fontId="1" fillId="0" borderId="0" xfId="0" applyFont="1" applyAlignment="1">
      <alignment horizontal="left"/>
    </xf>
    <xf numFmtId="0" fontId="22" fillId="5" borderId="20" xfId="0" applyFont="1" applyFill="1" applyBorder="1" applyAlignment="1" applyProtection="1">
      <alignment horizontal="left"/>
      <protection hidden="1"/>
    </xf>
    <xf numFmtId="0" fontId="22" fillId="5" borderId="21" xfId="0" applyFont="1" applyFill="1" applyBorder="1" applyAlignment="1" applyProtection="1">
      <alignment horizontal="left"/>
      <protection hidden="1"/>
    </xf>
    <xf numFmtId="37" fontId="24" fillId="3" borderId="18" xfId="0" applyNumberFormat="1" applyFont="1" applyFill="1" applyBorder="1" applyAlignment="1" applyProtection="1">
      <alignment horizontal="right" vertical="center"/>
      <protection hidden="1"/>
    </xf>
    <xf numFmtId="37" fontId="24" fillId="3" borderId="19" xfId="0" applyNumberFormat="1" applyFont="1" applyFill="1" applyBorder="1" applyAlignment="1" applyProtection="1">
      <alignment horizontal="right" vertical="center"/>
      <protection hidden="1"/>
    </xf>
    <xf numFmtId="164" fontId="22" fillId="3" borderId="22" xfId="1" applyNumberFormat="1" applyFont="1" applyFill="1" applyBorder="1" applyAlignment="1" applyProtection="1">
      <alignment horizontal="right"/>
      <protection hidden="1"/>
    </xf>
    <xf numFmtId="164" fontId="22" fillId="3" borderId="7" xfId="1" applyNumberFormat="1" applyFont="1" applyFill="1" applyBorder="1" applyAlignment="1" applyProtection="1">
      <alignment horizontal="right"/>
      <protection hidden="1"/>
    </xf>
    <xf numFmtId="164" fontId="22" fillId="3" borderId="5" xfId="1" applyNumberFormat="1" applyFont="1" applyFill="1" applyBorder="1" applyAlignment="1" applyProtection="1">
      <alignment horizontal="right"/>
      <protection hidden="1"/>
    </xf>
    <xf numFmtId="164" fontId="22" fillId="3" borderId="6" xfId="1" applyNumberFormat="1" applyFont="1" applyFill="1" applyBorder="1" applyAlignment="1" applyProtection="1">
      <alignment horizontal="right"/>
      <protection hidden="1"/>
    </xf>
    <xf numFmtId="164" fontId="22" fillId="3" borderId="14" xfId="1" applyNumberFormat="1" applyFont="1" applyFill="1" applyBorder="1" applyAlignment="1" applyProtection="1">
      <alignment horizontal="right"/>
      <protection hidden="1"/>
    </xf>
    <xf numFmtId="164" fontId="22" fillId="3" borderId="15" xfId="1" applyNumberFormat="1" applyFont="1" applyFill="1" applyBorder="1" applyAlignment="1" applyProtection="1">
      <alignment horizontal="right"/>
      <protection hidden="1"/>
    </xf>
    <xf numFmtId="0" fontId="3" fillId="2" borderId="17" xfId="0" applyFont="1" applyFill="1" applyBorder="1" applyAlignment="1" applyProtection="1">
      <alignment horizontal="left" vertical="center"/>
      <protection hidden="1"/>
    </xf>
    <xf numFmtId="0" fontId="16" fillId="2" borderId="18" xfId="0" applyFont="1" applyFill="1" applyBorder="1" applyAlignment="1" applyProtection="1">
      <alignment horizontal="left" vertical="center"/>
      <protection hidden="1"/>
    </xf>
    <xf numFmtId="0" fontId="16" fillId="2" borderId="19" xfId="0" applyFont="1" applyFill="1" applyBorder="1" applyAlignment="1" applyProtection="1">
      <alignment horizontal="left" vertical="center"/>
      <protection hidden="1"/>
    </xf>
    <xf numFmtId="0" fontId="19" fillId="0" borderId="23" xfId="0" applyFont="1" applyBorder="1" applyAlignment="1" applyProtection="1">
      <alignment horizontal="center" wrapText="1"/>
      <protection hidden="1"/>
    </xf>
    <xf numFmtId="0" fontId="19" fillId="0" borderId="24" xfId="0" applyFont="1" applyBorder="1" applyAlignment="1" applyProtection="1">
      <alignment horizontal="center" wrapText="1"/>
      <protection hidden="1"/>
    </xf>
    <xf numFmtId="0" fontId="22" fillId="0" borderId="10" xfId="0" applyFont="1" applyBorder="1" applyAlignment="1" applyProtection="1">
      <alignment vertical="center" wrapText="1"/>
      <protection hidden="1"/>
    </xf>
    <xf numFmtId="0" fontId="22" fillId="0" borderId="14" xfId="0" applyFont="1" applyBorder="1" applyAlignment="1" applyProtection="1">
      <alignment horizontal="center"/>
      <protection hidden="1"/>
    </xf>
    <xf numFmtId="0" fontId="22" fillId="5" borderId="20" xfId="0" applyFont="1" applyFill="1" applyBorder="1" applyAlignment="1" applyProtection="1">
      <alignment horizontal="left" wrapText="1"/>
      <protection hidden="1"/>
    </xf>
    <xf numFmtId="0" fontId="22" fillId="5" borderId="21" xfId="0" applyFont="1" applyFill="1" applyBorder="1" applyAlignment="1" applyProtection="1">
      <alignment horizontal="left" wrapText="1"/>
      <protection hidden="1"/>
    </xf>
    <xf numFmtId="0" fontId="19" fillId="0" borderId="25" xfId="0" applyFont="1" applyBorder="1" applyAlignment="1" applyProtection="1">
      <alignment horizontal="center" wrapText="1"/>
      <protection hidden="1"/>
    </xf>
    <xf numFmtId="0" fontId="19" fillId="0" borderId="27" xfId="0" applyFont="1" applyBorder="1" applyAlignment="1" applyProtection="1">
      <alignment horizontal="center" wrapText="1"/>
      <protection hidden="1"/>
    </xf>
    <xf numFmtId="0" fontId="19" fillId="0" borderId="26" xfId="0" applyFont="1" applyBorder="1" applyAlignment="1" applyProtection="1">
      <alignment horizontal="center" wrapText="1"/>
      <protection hidden="1"/>
    </xf>
    <xf numFmtId="0" fontId="19" fillId="0" borderId="28" xfId="0" applyFont="1" applyBorder="1" applyAlignment="1" applyProtection="1">
      <alignment horizontal="center" wrapText="1"/>
      <protection hidden="1"/>
    </xf>
    <xf numFmtId="0" fontId="19" fillId="0" borderId="31" xfId="0" applyFont="1" applyBorder="1" applyAlignment="1" applyProtection="1">
      <alignment horizontal="center" wrapText="1"/>
      <protection hidden="1"/>
    </xf>
    <xf numFmtId="0" fontId="19" fillId="0" borderId="32" xfId="0" applyFont="1" applyBorder="1" applyAlignment="1" applyProtection="1">
      <alignment horizontal="center" wrapText="1"/>
      <protection hidden="1"/>
    </xf>
    <xf numFmtId="0" fontId="22" fillId="5" borderId="0" xfId="0" applyFont="1" applyFill="1" applyAlignment="1" applyProtection="1">
      <alignment horizontal="left"/>
      <protection hidden="1"/>
    </xf>
    <xf numFmtId="0" fontId="22" fillId="5" borderId="4" xfId="0" applyFont="1" applyFill="1" applyBorder="1" applyAlignment="1" applyProtection="1">
      <alignment horizontal="left"/>
      <protection hidden="1"/>
    </xf>
    <xf numFmtId="0" fontId="29" fillId="7" borderId="14" xfId="0" applyFont="1" applyFill="1" applyBorder="1" applyAlignment="1" applyProtection="1">
      <alignment horizontal="left" wrapText="1"/>
      <protection hidden="1"/>
    </xf>
    <xf numFmtId="165" fontId="22" fillId="5" borderId="0" xfId="0" applyNumberFormat="1" applyFont="1" applyFill="1" applyAlignment="1" applyProtection="1">
      <alignment horizontal="left"/>
      <protection hidden="1"/>
    </xf>
    <xf numFmtId="165" fontId="22" fillId="5" borderId="4" xfId="0" applyNumberFormat="1" applyFont="1" applyFill="1" applyBorder="1" applyAlignment="1" applyProtection="1">
      <alignment horizontal="left"/>
      <protection hidden="1"/>
    </xf>
    <xf numFmtId="0" fontId="21" fillId="4" borderId="17" xfId="0" applyFont="1" applyFill="1" applyBorder="1" applyAlignment="1" applyProtection="1">
      <alignment horizontal="left" vertical="center"/>
      <protection hidden="1"/>
    </xf>
    <xf numFmtId="0" fontId="21" fillId="4" borderId="18" xfId="0" applyFont="1" applyFill="1" applyBorder="1" applyAlignment="1" applyProtection="1">
      <alignment horizontal="left" vertical="center"/>
      <protection hidden="1"/>
    </xf>
    <xf numFmtId="0" fontId="21" fillId="4" borderId="19" xfId="0" applyFont="1" applyFill="1" applyBorder="1" applyAlignment="1" applyProtection="1">
      <alignment horizontal="left" vertical="center"/>
      <protection hidden="1"/>
    </xf>
    <xf numFmtId="0" fontId="25" fillId="4" borderId="17" xfId="0" applyFont="1" applyFill="1" applyBorder="1" applyAlignment="1" applyProtection="1">
      <alignment horizontal="left" vertical="center"/>
      <protection hidden="1"/>
    </xf>
    <xf numFmtId="0" fontId="25" fillId="4" borderId="18" xfId="0" applyFont="1" applyFill="1" applyBorder="1" applyAlignment="1" applyProtection="1">
      <alignment horizontal="left" vertical="center"/>
      <protection hidden="1"/>
    </xf>
    <xf numFmtId="0" fontId="25" fillId="4" borderId="19" xfId="0" applyFont="1" applyFill="1" applyBorder="1" applyAlignment="1" applyProtection="1">
      <alignment horizontal="left" vertical="center"/>
      <protection hidden="1"/>
    </xf>
    <xf numFmtId="14" fontId="22" fillId="5" borderId="22" xfId="0" applyNumberFormat="1" applyFont="1" applyFill="1" applyBorder="1" applyAlignment="1" applyProtection="1">
      <alignment horizontal="right"/>
      <protection hidden="1"/>
    </xf>
    <xf numFmtId="14" fontId="22" fillId="5" borderId="7" xfId="0" applyNumberFormat="1" applyFont="1" applyFill="1" applyBorder="1" applyAlignment="1" applyProtection="1">
      <alignment horizontal="right"/>
      <protection hidden="1"/>
    </xf>
    <xf numFmtId="3" fontId="22" fillId="5" borderId="5" xfId="0" applyNumberFormat="1" applyFont="1" applyFill="1" applyBorder="1" applyAlignment="1" applyProtection="1">
      <alignment horizontal="right"/>
      <protection hidden="1"/>
    </xf>
    <xf numFmtId="3" fontId="22" fillId="5" borderId="6" xfId="0" applyNumberFormat="1" applyFont="1" applyFill="1" applyBorder="1" applyAlignment="1" applyProtection="1">
      <alignment horizontal="right"/>
      <protection hidden="1"/>
    </xf>
    <xf numFmtId="165" fontId="22" fillId="5" borderId="5" xfId="0" applyNumberFormat="1" applyFont="1" applyFill="1" applyBorder="1" applyAlignment="1" applyProtection="1">
      <alignment horizontal="right"/>
      <protection hidden="1"/>
    </xf>
    <xf numFmtId="165" fontId="22" fillId="5" borderId="6" xfId="0" applyNumberFormat="1" applyFont="1" applyFill="1" applyBorder="1" applyAlignment="1" applyProtection="1">
      <alignment horizontal="right"/>
      <protection hidden="1"/>
    </xf>
    <xf numFmtId="10" fontId="22" fillId="3" borderId="5" xfId="3" applyNumberFormat="1" applyFont="1" applyFill="1" applyBorder="1" applyAlignment="1" applyProtection="1">
      <alignment horizontal="right"/>
      <protection hidden="1"/>
    </xf>
    <xf numFmtId="10" fontId="22" fillId="3" borderId="6" xfId="3" applyNumberFormat="1" applyFont="1" applyFill="1" applyBorder="1" applyAlignment="1" applyProtection="1">
      <alignment horizontal="right"/>
      <protection hidden="1"/>
    </xf>
    <xf numFmtId="0" fontId="15" fillId="0" borderId="0" xfId="0" applyFont="1" applyAlignment="1" applyProtection="1">
      <alignment horizontal="center" wrapText="1"/>
      <protection hidden="1"/>
    </xf>
    <xf numFmtId="14" fontId="22" fillId="5" borderId="5" xfId="0" applyNumberFormat="1" applyFont="1" applyFill="1" applyBorder="1" applyAlignment="1" applyProtection="1">
      <alignment horizontal="right"/>
      <protection hidden="1"/>
    </xf>
    <xf numFmtId="14" fontId="22" fillId="5" borderId="6" xfId="0" applyNumberFormat="1" applyFont="1" applyFill="1" applyBorder="1" applyAlignment="1" applyProtection="1">
      <alignment horizontal="right"/>
      <protection hidden="1"/>
    </xf>
    <xf numFmtId="38" fontId="22" fillId="5" borderId="5" xfId="0" applyNumberFormat="1" applyFont="1" applyFill="1" applyBorder="1" applyAlignment="1" applyProtection="1">
      <alignment horizontal="right"/>
      <protection hidden="1"/>
    </xf>
    <xf numFmtId="38" fontId="22" fillId="5" borderId="6" xfId="0" applyNumberFormat="1" applyFont="1" applyFill="1" applyBorder="1" applyAlignment="1" applyProtection="1">
      <alignment horizontal="right"/>
      <protection hidden="1"/>
    </xf>
    <xf numFmtId="38" fontId="22" fillId="5" borderId="29" xfId="0" applyNumberFormat="1" applyFont="1" applyFill="1" applyBorder="1" applyAlignment="1" applyProtection="1">
      <alignment horizontal="right"/>
      <protection hidden="1"/>
    </xf>
    <xf numFmtId="38" fontId="22" fillId="5" borderId="16" xfId="0" applyNumberFormat="1" applyFont="1" applyFill="1" applyBorder="1" applyAlignment="1" applyProtection="1">
      <alignment horizontal="right"/>
      <protection hidden="1"/>
    </xf>
  </cellXfs>
  <cellStyles count="5">
    <cellStyle name="Comma" xfId="1" builtinId="3"/>
    <cellStyle name="Comma 2" xfId="2" xr:uid="{00000000-0005-0000-0000-000001000000}"/>
    <cellStyle name="Normal" xfId="0" builtinId="0"/>
    <cellStyle name="Percent" xfId="4" builtinId="5"/>
    <cellStyle name="Percent 2" xfId="3" xr:uid="{00000000-0005-0000-0000-00000400000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12"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revisionHeaders" Target="revisions/revisionHeaders.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32657</xdr:colOff>
      <xdr:row>0</xdr:row>
      <xdr:rowOff>838201</xdr:rowOff>
    </xdr:to>
    <xdr:pic>
      <xdr:nvPicPr>
        <xdr:cNvPr id="3" name="Picture 2">
          <a:extLst>
            <a:ext uri="{FF2B5EF4-FFF2-40B4-BE49-F238E27FC236}">
              <a16:creationId xmlns:a16="http://schemas.microsoft.com/office/drawing/2014/main" id="{8993217C-2A1E-E87D-4653-8E9FE47AF4E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6675" b="9885"/>
        <a:stretch/>
      </xdr:blipFill>
      <xdr:spPr>
        <a:xfrm>
          <a:off x="0" y="1"/>
          <a:ext cx="9220200" cy="838200"/>
        </a:xfrm>
        <a:prstGeom prst="rect">
          <a:avLst/>
        </a:prstGeom>
        <a:ln w="12700" cap="flat">
          <a:noFill/>
          <a:miter lim="400000"/>
        </a:ln>
        <a:effectLst/>
      </xdr:spPr>
    </xdr:pic>
    <xdr:clientData/>
  </xdr:twoCellAnchor>
</xdr:wsDr>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7ACB5F1F-726A-4A7E-B4C6-62CFE78F6632}">
  <header guid="{7ACB5F1F-726A-4A7E-B4C6-62CFE78F6632}" dateTime="2025-06-17T18:54:16" maxSheetId="3" userName="Foley, Joseph" r:id="rId1">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A1:T42"/>
  <sheetViews>
    <sheetView showGridLines="0" tabSelected="1" zoomScale="70" zoomScaleNormal="70" zoomScaleSheetLayoutView="85" workbookViewId="0">
      <selection sqref="A1:C1"/>
    </sheetView>
  </sheetViews>
  <sheetFormatPr defaultColWidth="9.140625" defaultRowHeight="12.75" x14ac:dyDescent="0.2"/>
  <cols>
    <col min="1" max="1" width="86.7109375" style="7" customWidth="1"/>
    <col min="2" max="3" width="23.7109375" style="7" customWidth="1"/>
    <col min="4" max="4" width="20.7109375" style="8" customWidth="1"/>
    <col min="5" max="5" width="35.7109375" style="7" customWidth="1"/>
    <col min="6" max="6" width="21.42578125" style="8" customWidth="1"/>
    <col min="7" max="7" width="16.7109375" style="8" customWidth="1"/>
    <col min="8" max="9" width="16.7109375" style="15" customWidth="1"/>
    <col min="10" max="10" width="37.28515625" style="15" hidden="1" customWidth="1"/>
    <col min="11" max="11" width="5.140625" style="15" hidden="1" customWidth="1"/>
    <col min="12" max="12" width="10.7109375" style="15" hidden="1" customWidth="1"/>
    <col min="13" max="13" width="4.5703125" style="7" customWidth="1"/>
    <col min="14" max="14" width="39.140625" style="7" bestFit="1" customWidth="1"/>
    <col min="15" max="17" width="15.7109375" style="8" customWidth="1"/>
    <col min="18" max="18" width="15.7109375" style="7" customWidth="1"/>
    <col min="19" max="19" width="1.7109375" style="7" customWidth="1"/>
    <col min="20" max="16384" width="9.140625" style="7"/>
  </cols>
  <sheetData>
    <row r="1" spans="1:11" s="5" customFormat="1" ht="94.15" customHeight="1" thickBot="1" x14ac:dyDescent="0.3">
      <c r="A1" s="88" t="s">
        <v>59</v>
      </c>
      <c r="B1" s="88"/>
      <c r="C1" s="88"/>
      <c r="E1" s="105"/>
      <c r="F1" s="105"/>
      <c r="G1" s="105"/>
      <c r="H1" s="105"/>
      <c r="I1" s="105"/>
      <c r="J1" s="7"/>
      <c r="K1" s="7"/>
    </row>
    <row r="2" spans="1:11" s="5" customFormat="1" ht="21.75" customHeight="1" thickBot="1" x14ac:dyDescent="0.3">
      <c r="A2" s="21" t="s">
        <v>35</v>
      </c>
      <c r="B2" s="89" t="s">
        <v>87</v>
      </c>
      <c r="C2" s="90"/>
      <c r="E2" s="105"/>
      <c r="F2" s="105"/>
      <c r="G2" s="105"/>
      <c r="H2" s="105"/>
      <c r="I2" s="105"/>
      <c r="K2" s="9"/>
    </row>
    <row r="3" spans="1:11" s="5" customFormat="1" ht="15.75" customHeight="1" thickBot="1" x14ac:dyDescent="0.25">
      <c r="A3" s="91" t="s">
        <v>45</v>
      </c>
      <c r="B3" s="92"/>
      <c r="C3" s="93"/>
      <c r="E3" s="7"/>
      <c r="F3" s="8"/>
      <c r="G3" s="8"/>
      <c r="H3" s="8"/>
      <c r="I3" s="7"/>
      <c r="J3" s="7"/>
      <c r="K3" s="7"/>
    </row>
    <row r="4" spans="1:11" s="5" customFormat="1" ht="15.75" customHeight="1" x14ac:dyDescent="0.25">
      <c r="A4" s="20" t="s">
        <v>43</v>
      </c>
      <c r="B4" s="97">
        <v>45826</v>
      </c>
      <c r="C4" s="98"/>
      <c r="E4"/>
      <c r="F4"/>
      <c r="G4"/>
      <c r="H4"/>
      <c r="I4"/>
      <c r="J4" s="7"/>
      <c r="K4" s="7"/>
    </row>
    <row r="5" spans="1:11" s="5" customFormat="1" ht="15.75" customHeight="1" x14ac:dyDescent="0.25">
      <c r="A5" s="21" t="s">
        <v>44</v>
      </c>
      <c r="B5" s="106">
        <v>45828</v>
      </c>
      <c r="C5" s="107"/>
      <c r="E5"/>
      <c r="F5"/>
      <c r="G5"/>
      <c r="H5"/>
      <c r="I5"/>
      <c r="J5" s="7"/>
      <c r="K5" s="7"/>
    </row>
    <row r="6" spans="1:11" s="5" customFormat="1" ht="15.75" customHeight="1" x14ac:dyDescent="0.25">
      <c r="A6" s="21" t="s">
        <v>4</v>
      </c>
      <c r="B6" s="101" t="s">
        <v>88</v>
      </c>
      <c r="C6" s="102"/>
      <c r="E6"/>
      <c r="F6"/>
      <c r="G6"/>
      <c r="H6"/>
      <c r="I6"/>
      <c r="J6" s="7"/>
      <c r="K6" s="7"/>
    </row>
    <row r="7" spans="1:11" s="5" customFormat="1" ht="15.75" customHeight="1" x14ac:dyDescent="0.25">
      <c r="A7" s="21" t="s">
        <v>38</v>
      </c>
      <c r="B7" s="99">
        <v>160124122</v>
      </c>
      <c r="C7" s="100"/>
      <c r="E7"/>
      <c r="F7"/>
      <c r="G7"/>
      <c r="H7"/>
      <c r="I7"/>
      <c r="J7" s="7"/>
      <c r="K7" s="7"/>
    </row>
    <row r="8" spans="1:11" s="5" customFormat="1" ht="15.75" customHeight="1" x14ac:dyDescent="0.25">
      <c r="A8" s="22" t="s">
        <v>39</v>
      </c>
      <c r="B8" s="99">
        <v>1961520489</v>
      </c>
      <c r="C8" s="100"/>
      <c r="E8"/>
      <c r="F8"/>
      <c r="G8"/>
      <c r="H8"/>
      <c r="I8"/>
      <c r="J8" s="7"/>
      <c r="K8" s="7"/>
    </row>
    <row r="9" spans="1:11" s="5" customFormat="1" ht="15.75" customHeight="1" x14ac:dyDescent="0.25">
      <c r="A9" s="23" t="s">
        <v>46</v>
      </c>
      <c r="B9" s="16" t="s">
        <v>0</v>
      </c>
      <c r="C9" s="17" t="s">
        <v>2</v>
      </c>
      <c r="E9"/>
      <c r="F9"/>
      <c r="G9"/>
      <c r="H9"/>
      <c r="I9"/>
      <c r="J9" s="7"/>
      <c r="K9" s="7"/>
    </row>
    <row r="10" spans="1:11" s="5" customFormat="1" ht="32.1" customHeight="1" x14ac:dyDescent="0.25">
      <c r="A10" s="21" t="s">
        <v>82</v>
      </c>
      <c r="B10" s="24">
        <v>1813641903</v>
      </c>
      <c r="C10" s="25">
        <v>-524158838</v>
      </c>
      <c r="E10"/>
      <c r="F10"/>
      <c r="G10"/>
      <c r="H10"/>
      <c r="I10"/>
      <c r="J10" s="7"/>
      <c r="K10" s="7"/>
    </row>
    <row r="11" spans="1:11" s="5" customFormat="1" ht="15.75" customHeight="1" x14ac:dyDescent="0.25">
      <c r="A11" s="21" t="s">
        <v>85</v>
      </c>
      <c r="B11" s="24">
        <v>0</v>
      </c>
      <c r="C11" s="25">
        <v>-172548125</v>
      </c>
      <c r="E11"/>
      <c r="F11"/>
      <c r="G11"/>
      <c r="H11"/>
      <c r="I11"/>
      <c r="J11" s="7"/>
      <c r="K11" s="7"/>
    </row>
    <row r="12" spans="1:11" s="5" customFormat="1" ht="15.75" customHeight="1" thickBot="1" x14ac:dyDescent="0.25">
      <c r="A12" s="26" t="s">
        <v>81</v>
      </c>
      <c r="B12" s="27">
        <v>1813641903</v>
      </c>
      <c r="C12" s="28">
        <v>-696706963</v>
      </c>
      <c r="E12" s="53"/>
      <c r="F12" s="54"/>
      <c r="G12" s="54"/>
      <c r="H12" s="54"/>
      <c r="I12" s="54"/>
      <c r="J12" s="7"/>
      <c r="K12" s="7"/>
    </row>
    <row r="13" spans="1:11" s="5" customFormat="1" ht="15.75" customHeight="1" thickBot="1" x14ac:dyDescent="0.3">
      <c r="A13" s="91" t="s">
        <v>48</v>
      </c>
      <c r="B13" s="92"/>
      <c r="C13" s="93"/>
      <c r="E13"/>
      <c r="F13"/>
      <c r="G13"/>
      <c r="H13"/>
      <c r="I13"/>
      <c r="J13" s="7"/>
      <c r="K13" s="7"/>
    </row>
    <row r="14" spans="1:11" s="5" customFormat="1" ht="32.1" customHeight="1" x14ac:dyDescent="0.25">
      <c r="A14" s="21" t="s">
        <v>40</v>
      </c>
      <c r="B14" s="86" t="s">
        <v>89</v>
      </c>
      <c r="C14" s="87"/>
      <c r="E14"/>
      <c r="F14"/>
      <c r="G14"/>
      <c r="H14"/>
      <c r="I14"/>
      <c r="J14" s="7"/>
      <c r="K14" s="7"/>
    </row>
    <row r="15" spans="1:11" s="5" customFormat="1" ht="15.75" customHeight="1" x14ac:dyDescent="0.25">
      <c r="A15" s="21" t="s">
        <v>5</v>
      </c>
      <c r="B15" s="99">
        <v>5000000</v>
      </c>
      <c r="C15" s="100"/>
      <c r="E15"/>
      <c r="F15"/>
      <c r="G15"/>
      <c r="H15"/>
      <c r="I15"/>
      <c r="J15" s="7"/>
      <c r="K15" s="7"/>
    </row>
    <row r="16" spans="1:11" s="5" customFormat="1" ht="15.75" customHeight="1" x14ac:dyDescent="0.25">
      <c r="A16" s="21" t="s">
        <v>41</v>
      </c>
      <c r="B16" s="103">
        <v>2.5490429633743174E-3</v>
      </c>
      <c r="C16" s="104"/>
      <c r="E16"/>
      <c r="F16"/>
      <c r="G16"/>
      <c r="H16"/>
      <c r="I16"/>
      <c r="J16" s="7"/>
      <c r="K16" s="7"/>
    </row>
    <row r="17" spans="1:20" s="5" customFormat="1" ht="15" x14ac:dyDescent="0.25">
      <c r="A17" s="21" t="s">
        <v>42</v>
      </c>
      <c r="B17" s="103">
        <v>2.775624560810497E-3</v>
      </c>
      <c r="C17" s="104"/>
      <c r="E17"/>
      <c r="F17"/>
      <c r="G17"/>
      <c r="H17"/>
      <c r="I17"/>
      <c r="J17" s="7"/>
      <c r="K17" s="7"/>
    </row>
    <row r="18" spans="1:20" s="5" customFormat="1" ht="15.75" customHeight="1" x14ac:dyDescent="0.25">
      <c r="A18" s="21" t="s">
        <v>57</v>
      </c>
      <c r="B18" s="108">
        <v>1406962</v>
      </c>
      <c r="C18" s="109"/>
      <c r="E18"/>
      <c r="F18"/>
      <c r="G18"/>
      <c r="H18"/>
      <c r="I18"/>
      <c r="J18" s="7"/>
      <c r="K18" s="7"/>
    </row>
    <row r="19" spans="1:20" s="5" customFormat="1" ht="15.75" customHeight="1" x14ac:dyDescent="0.25">
      <c r="A19" s="21" t="s">
        <v>56</v>
      </c>
      <c r="B19" s="108">
        <v>4900652</v>
      </c>
      <c r="C19" s="109"/>
      <c r="E19"/>
      <c r="F19"/>
      <c r="G19"/>
      <c r="H19"/>
      <c r="I19"/>
      <c r="J19" s="7"/>
      <c r="K19" s="7"/>
    </row>
    <row r="20" spans="1:20" s="5" customFormat="1" ht="15.75" customHeight="1" thickBot="1" x14ac:dyDescent="0.25">
      <c r="A20" s="26" t="s">
        <v>58</v>
      </c>
      <c r="B20" s="110">
        <v>1307614</v>
      </c>
      <c r="C20" s="111"/>
      <c r="E20" s="53"/>
      <c r="F20" s="53"/>
      <c r="G20" s="53"/>
      <c r="H20" s="53"/>
      <c r="I20" s="53"/>
      <c r="J20" s="7"/>
      <c r="K20" s="7"/>
    </row>
    <row r="21" spans="1:20" s="5" customFormat="1" ht="15.75" customHeight="1" thickBot="1" x14ac:dyDescent="0.3">
      <c r="A21" s="94" t="s">
        <v>47</v>
      </c>
      <c r="B21" s="95"/>
      <c r="C21" s="96"/>
      <c r="E21"/>
      <c r="F21"/>
      <c r="G21"/>
      <c r="H21"/>
      <c r="I21"/>
      <c r="J21" s="7"/>
      <c r="K21" s="7"/>
    </row>
    <row r="22" spans="1:20" s="5" customFormat="1" ht="15.75" customHeight="1" x14ac:dyDescent="0.25">
      <c r="A22" s="29" t="s">
        <v>8</v>
      </c>
      <c r="B22" s="30"/>
      <c r="C22" s="31"/>
      <c r="E22"/>
      <c r="F22"/>
      <c r="G22"/>
      <c r="H22"/>
      <c r="I22"/>
      <c r="J22" s="7"/>
      <c r="K22" s="7"/>
    </row>
    <row r="23" spans="1:20" s="5" customFormat="1" ht="15.75" customHeight="1" x14ac:dyDescent="0.25">
      <c r="A23" s="21" t="s">
        <v>49</v>
      </c>
      <c r="B23" s="65">
        <v>1406962</v>
      </c>
      <c r="C23" s="66"/>
      <c r="E23"/>
      <c r="F23"/>
      <c r="G23"/>
      <c r="H23"/>
      <c r="I23"/>
      <c r="J23" s="7"/>
      <c r="K23" s="7"/>
    </row>
    <row r="24" spans="1:20" s="5" customFormat="1" ht="15.75" customHeight="1" x14ac:dyDescent="0.25">
      <c r="A24" s="21" t="s">
        <v>50</v>
      </c>
      <c r="B24" s="67">
        <v>278137</v>
      </c>
      <c r="C24" s="68"/>
      <c r="E24"/>
      <c r="F24"/>
      <c r="G24"/>
      <c r="H24"/>
      <c r="I24"/>
      <c r="J24" s="7"/>
      <c r="K24" s="7"/>
    </row>
    <row r="25" spans="1:20" s="5" customFormat="1" ht="15.75" customHeight="1" thickBot="1" x14ac:dyDescent="0.25">
      <c r="A25" s="26" t="s">
        <v>51</v>
      </c>
      <c r="B25" s="69">
        <v>1685099</v>
      </c>
      <c r="C25" s="70"/>
    </row>
    <row r="26" spans="1:20" s="5" customFormat="1" ht="15.75" customHeight="1" x14ac:dyDescent="0.2">
      <c r="A26" s="29" t="s">
        <v>1</v>
      </c>
      <c r="B26" s="32" t="s">
        <v>0</v>
      </c>
      <c r="C26" s="33" t="s">
        <v>2</v>
      </c>
    </row>
    <row r="27" spans="1:20" s="5" customFormat="1" ht="15.75" customHeight="1" x14ac:dyDescent="0.2">
      <c r="A27" s="21" t="s">
        <v>52</v>
      </c>
      <c r="B27" s="24">
        <v>4900652</v>
      </c>
      <c r="C27" s="25">
        <v>-1307614</v>
      </c>
    </row>
    <row r="28" spans="1:20" s="5" customFormat="1" ht="15.75" customHeight="1" x14ac:dyDescent="0.2">
      <c r="A28" s="34" t="s">
        <v>3</v>
      </c>
      <c r="B28" s="35">
        <v>2.7021056317091501E-3</v>
      </c>
      <c r="C28" s="36">
        <v>2.4946903594898462E-3</v>
      </c>
      <c r="E28" s="18"/>
      <c r="F28" s="18"/>
      <c r="G28" s="18"/>
      <c r="H28" s="18"/>
      <c r="I28" s="18"/>
      <c r="J28" s="8"/>
      <c r="K28" s="8"/>
    </row>
    <row r="29" spans="1:20" s="5" customFormat="1" ht="15.75" customHeight="1" x14ac:dyDescent="0.2">
      <c r="A29" s="37" t="s">
        <v>53</v>
      </c>
      <c r="B29" s="24">
        <v>0</v>
      </c>
      <c r="C29" s="25">
        <v>-278137</v>
      </c>
      <c r="J29" s="6"/>
      <c r="K29" s="6"/>
      <c r="L29" s="6"/>
      <c r="N29" s="18"/>
      <c r="O29" s="19"/>
      <c r="P29" s="19"/>
      <c r="Q29" s="19"/>
      <c r="R29" s="18"/>
      <c r="S29" s="8"/>
      <c r="T29" s="8"/>
    </row>
    <row r="30" spans="1:20" s="5" customFormat="1" ht="15.75" customHeight="1" x14ac:dyDescent="0.2">
      <c r="A30" s="34" t="s">
        <v>3</v>
      </c>
      <c r="B30" s="35">
        <v>0</v>
      </c>
      <c r="C30" s="36">
        <v>1.6119386982617169E-3</v>
      </c>
      <c r="J30" s="6"/>
      <c r="K30" s="6"/>
      <c r="L30" s="6"/>
      <c r="N30" s="18"/>
      <c r="O30" s="19"/>
      <c r="P30" s="19"/>
      <c r="Q30" s="19"/>
      <c r="R30" s="18"/>
      <c r="S30" s="7"/>
      <c r="T30" s="14"/>
    </row>
    <row r="31" spans="1:20" s="5" customFormat="1" ht="15.75" customHeight="1" x14ac:dyDescent="0.2">
      <c r="A31" s="40" t="s">
        <v>54</v>
      </c>
      <c r="B31" s="38">
        <v>4900652</v>
      </c>
      <c r="C31" s="39">
        <v>-1585751</v>
      </c>
      <c r="J31" s="6"/>
      <c r="K31" s="6"/>
      <c r="L31" s="6"/>
      <c r="N31" s="18"/>
      <c r="O31" s="19"/>
      <c r="P31" s="19"/>
      <c r="Q31" s="19"/>
      <c r="R31" s="18"/>
      <c r="S31" s="7"/>
      <c r="T31" s="7"/>
    </row>
    <row r="32" spans="1:20" s="5" customFormat="1" ht="15.75" customHeight="1" thickBot="1" x14ac:dyDescent="0.25">
      <c r="A32" s="41" t="s">
        <v>3</v>
      </c>
      <c r="B32" s="42">
        <v>2.7021056317091501E-3</v>
      </c>
      <c r="C32" s="43">
        <v>2.2760659562978992E-3</v>
      </c>
      <c r="J32" s="6"/>
      <c r="K32" s="6"/>
      <c r="L32" s="6"/>
      <c r="N32" s="18"/>
      <c r="O32" s="19"/>
      <c r="P32" s="19"/>
      <c r="Q32" s="19"/>
      <c r="R32" s="18"/>
      <c r="S32" s="7"/>
    </row>
    <row r="33" spans="1:20" s="5" customFormat="1" ht="50.1" customHeight="1" thickBot="1" x14ac:dyDescent="0.25">
      <c r="A33" s="44" t="s">
        <v>84</v>
      </c>
      <c r="B33" s="63">
        <v>-278137</v>
      </c>
      <c r="C33" s="64"/>
      <c r="J33" s="6"/>
      <c r="K33" s="6"/>
      <c r="L33" s="6"/>
      <c r="N33" s="18"/>
      <c r="O33" s="19"/>
      <c r="P33" s="19"/>
      <c r="Q33" s="19"/>
      <c r="R33" s="18"/>
      <c r="S33" s="7"/>
      <c r="T33" s="7"/>
    </row>
    <row r="34" spans="1:20" s="5" customFormat="1" ht="145.5" customHeight="1" x14ac:dyDescent="0.2">
      <c r="A34" s="76" t="s">
        <v>83</v>
      </c>
      <c r="B34" s="76"/>
      <c r="C34" s="76"/>
      <c r="D34" s="45"/>
      <c r="E34" s="46"/>
      <c r="F34" s="46"/>
      <c r="G34" s="47"/>
      <c r="H34" s="47"/>
      <c r="I34" s="47"/>
      <c r="J34" s="48"/>
      <c r="K34" s="48"/>
      <c r="L34" s="48"/>
      <c r="M34" s="49"/>
      <c r="N34" s="18"/>
      <c r="O34" s="19"/>
      <c r="P34" s="19"/>
      <c r="Q34" s="19"/>
      <c r="R34" s="18"/>
      <c r="S34" s="7"/>
      <c r="T34" s="7"/>
    </row>
    <row r="35" spans="1:20" s="5" customFormat="1" ht="30" customHeight="1" thickBot="1" x14ac:dyDescent="0.25">
      <c r="A35" s="77"/>
      <c r="B35" s="77"/>
      <c r="C35" s="77"/>
      <c r="D35" s="77"/>
      <c r="E35" s="77"/>
      <c r="F35" s="77"/>
      <c r="G35" s="77"/>
      <c r="H35" s="55"/>
      <c r="I35" s="55"/>
      <c r="J35" s="50"/>
      <c r="K35" s="50"/>
      <c r="L35" s="50"/>
      <c r="M35" s="49"/>
      <c r="N35" s="18"/>
      <c r="O35" s="19"/>
      <c r="P35" s="19"/>
      <c r="Q35" s="19"/>
      <c r="R35" s="18"/>
      <c r="S35" s="7"/>
      <c r="T35" s="7"/>
    </row>
    <row r="36" spans="1:20" ht="23.25" customHeight="1" thickBot="1" x14ac:dyDescent="0.25">
      <c r="A36" s="71" t="s">
        <v>55</v>
      </c>
      <c r="B36" s="72"/>
      <c r="C36" s="72"/>
      <c r="D36" s="72"/>
      <c r="E36" s="72"/>
      <c r="F36" s="72"/>
      <c r="G36" s="73"/>
      <c r="H36" s="56"/>
      <c r="I36" s="56"/>
      <c r="J36" s="4"/>
      <c r="K36" s="4"/>
      <c r="L36" s="4"/>
      <c r="N36" s="18"/>
      <c r="O36" s="19"/>
      <c r="P36" s="19"/>
      <c r="Q36" s="19"/>
      <c r="R36" s="18"/>
    </row>
    <row r="37" spans="1:20" ht="13.5" customHeight="1" x14ac:dyDescent="0.2">
      <c r="A37" s="74" t="s">
        <v>86</v>
      </c>
      <c r="B37" s="80" t="s">
        <v>6</v>
      </c>
      <c r="C37" s="81"/>
      <c r="D37" s="80" t="s">
        <v>9</v>
      </c>
      <c r="E37" s="84" t="s">
        <v>7</v>
      </c>
      <c r="F37" s="84" t="s">
        <v>36</v>
      </c>
      <c r="G37" s="84" t="s">
        <v>37</v>
      </c>
      <c r="H37" s="57"/>
      <c r="I37" s="57"/>
      <c r="J37" s="9"/>
      <c r="K37" s="9"/>
      <c r="L37" s="9"/>
      <c r="N37" s="18"/>
      <c r="O37" s="19"/>
      <c r="P37" s="19"/>
      <c r="Q37" s="19"/>
      <c r="R37" s="18"/>
    </row>
    <row r="38" spans="1:20" s="9" customFormat="1" ht="50.25" customHeight="1" thickBot="1" x14ac:dyDescent="0.25">
      <c r="A38" s="75"/>
      <c r="B38" s="82"/>
      <c r="C38" s="83"/>
      <c r="D38" s="82"/>
      <c r="E38" s="85"/>
      <c r="F38" s="85"/>
      <c r="G38" s="85"/>
      <c r="H38" s="57"/>
      <c r="I38" s="57"/>
      <c r="J38" s="10">
        <v>4</v>
      </c>
      <c r="K38" s="10">
        <v>2</v>
      </c>
      <c r="L38" s="10"/>
      <c r="N38" s="18"/>
      <c r="O38" s="19"/>
      <c r="P38" s="19"/>
      <c r="Q38" s="19"/>
      <c r="R38" s="18"/>
      <c r="S38" s="7"/>
      <c r="T38" s="7"/>
    </row>
    <row r="39" spans="1:20" ht="30" customHeight="1" x14ac:dyDescent="0.2">
      <c r="A39" s="51" t="s">
        <v>90</v>
      </c>
      <c r="B39" s="78" t="s">
        <v>77</v>
      </c>
      <c r="C39" s="79"/>
      <c r="D39" s="59">
        <v>67553</v>
      </c>
      <c r="E39" s="52" t="s">
        <v>91</v>
      </c>
      <c r="F39" s="59">
        <v>-67553</v>
      </c>
      <c r="G39" s="59">
        <v>67553</v>
      </c>
      <c r="H39" s="58"/>
      <c r="I39" s="58"/>
      <c r="J39" s="11">
        <f>IFERROR(VLOOKUP(B39,Definitions!$A$1:$D$23,$J$38,FALSE), "0")</f>
        <v>1</v>
      </c>
      <c r="K39" s="12" t="str">
        <f>VLOOKUP(B39,Definitions!$A$1:$B$22,$K$38,FALSE)</f>
        <v>Dist.</v>
      </c>
      <c r="L39" s="12">
        <f t="shared" ref="L39:L42" si="0">IF(K39="Call", G39,0)</f>
        <v>0</v>
      </c>
      <c r="M39" s="13"/>
      <c r="N39" s="18"/>
      <c r="O39" s="19"/>
      <c r="P39" s="19"/>
      <c r="Q39" s="19"/>
      <c r="R39" s="18"/>
    </row>
    <row r="40" spans="1:20" ht="30" customHeight="1" x14ac:dyDescent="0.2">
      <c r="A40" s="51" t="s">
        <v>92</v>
      </c>
      <c r="B40" s="78" t="s">
        <v>77</v>
      </c>
      <c r="C40" s="79"/>
      <c r="D40" s="59">
        <v>5830</v>
      </c>
      <c r="E40" s="52" t="s">
        <v>91</v>
      </c>
      <c r="F40" s="59">
        <v>-5830</v>
      </c>
      <c r="G40" s="59">
        <v>5830</v>
      </c>
      <c r="H40" s="58"/>
      <c r="I40" s="58"/>
      <c r="J40" s="11">
        <f>IFERROR(VLOOKUP(B40,Definitions!$A$1:$D$23,$J$38,FALSE), "0")</f>
        <v>1</v>
      </c>
      <c r="K40" s="12" t="str">
        <f>VLOOKUP(B40,Definitions!$A$1:$B$22,$K$38,FALSE)</f>
        <v>Dist.</v>
      </c>
      <c r="L40" s="12">
        <f t="shared" si="0"/>
        <v>0</v>
      </c>
      <c r="M40" s="13"/>
      <c r="N40" s="18"/>
      <c r="O40" s="19"/>
      <c r="P40" s="19"/>
      <c r="Q40" s="19"/>
      <c r="R40" s="18"/>
    </row>
    <row r="41" spans="1:20" ht="30" customHeight="1" x14ac:dyDescent="0.2">
      <c r="A41" s="51" t="s">
        <v>93</v>
      </c>
      <c r="B41" s="78" t="s">
        <v>71</v>
      </c>
      <c r="C41" s="79"/>
      <c r="D41" s="59">
        <v>278601</v>
      </c>
      <c r="E41" s="52" t="s">
        <v>94</v>
      </c>
      <c r="F41" s="59">
        <v>278601</v>
      </c>
      <c r="G41" s="59">
        <v>-278601</v>
      </c>
      <c r="H41" s="58"/>
      <c r="I41" s="58"/>
      <c r="J41" s="11">
        <f>IFERROR(VLOOKUP(B41,Definitions!$A$1:$D$23,$J$38,FALSE), "0")</f>
        <v>-1</v>
      </c>
      <c r="K41" s="12" t="str">
        <f>VLOOKUP(B41,Definitions!$A$1:$B$22,$K$38,FALSE)</f>
        <v>Dist.</v>
      </c>
      <c r="L41" s="12">
        <f t="shared" si="0"/>
        <v>0</v>
      </c>
      <c r="M41" s="13"/>
      <c r="N41" s="18"/>
      <c r="O41" s="19"/>
      <c r="P41" s="19"/>
      <c r="Q41" s="19"/>
      <c r="R41" s="18"/>
    </row>
    <row r="42" spans="1:20" ht="30" customHeight="1" x14ac:dyDescent="0.2">
      <c r="A42" s="51" t="s">
        <v>93</v>
      </c>
      <c r="B42" s="61" t="s">
        <v>70</v>
      </c>
      <c r="C42" s="62"/>
      <c r="D42" s="59">
        <v>72919</v>
      </c>
      <c r="E42" s="52" t="s">
        <v>94</v>
      </c>
      <c r="F42" s="59">
        <v>72919</v>
      </c>
      <c r="G42" s="59">
        <v>-72919</v>
      </c>
      <c r="H42" s="58"/>
      <c r="I42" s="58"/>
      <c r="J42" s="11">
        <f>IFERROR(VLOOKUP(B42,Definitions!$A$1:$D$23,$J$38,FALSE), "0")</f>
        <v>-1</v>
      </c>
      <c r="K42" s="12" t="str">
        <f>VLOOKUP(B42,Definitions!$A$1:$B$22,$K$38,FALSE)</f>
        <v>Dist.</v>
      </c>
      <c r="L42" s="12">
        <f t="shared" si="0"/>
        <v>0</v>
      </c>
      <c r="M42" s="13"/>
      <c r="N42" s="18"/>
      <c r="O42" s="19"/>
      <c r="P42" s="19"/>
      <c r="Q42" s="19"/>
      <c r="R42" s="18"/>
    </row>
  </sheetData>
  <customSheetViews>
    <customSheetView guid="{D84D8FBE-0A02-4866-89EF-EADD513AFFA0}" scale="70" showGridLines="0" fitToPage="1" printArea="1" hiddenColumns="1">
      <selection sqref="A1:C1"/>
      <pageMargins left="0.2" right="0.2" top="0.75" bottom="0.75" header="0.3" footer="0.3"/>
      <pageSetup scale="40" orientation="landscape" r:id="rId1"/>
      <headerFooter>
        <oddFooter>&amp;C&amp;P of &amp;N</oddFooter>
      </headerFooter>
    </customSheetView>
  </customSheetViews>
  <mergeCells count="35">
    <mergeCell ref="B14:C14"/>
    <mergeCell ref="A1:C1"/>
    <mergeCell ref="B2:C2"/>
    <mergeCell ref="A3:C3"/>
    <mergeCell ref="A13:C13"/>
    <mergeCell ref="A21:C21"/>
    <mergeCell ref="B4:C4"/>
    <mergeCell ref="B8:C8"/>
    <mergeCell ref="B6:C6"/>
    <mergeCell ref="B7:C7"/>
    <mergeCell ref="B15:C15"/>
    <mergeCell ref="B16:C16"/>
    <mergeCell ref="B17:C17"/>
    <mergeCell ref="E1:I2"/>
    <mergeCell ref="B5:C5"/>
    <mergeCell ref="B18:C18"/>
    <mergeCell ref="B19:C19"/>
    <mergeCell ref="B20:C20"/>
    <mergeCell ref="B40:C40"/>
    <mergeCell ref="B42:C42"/>
    <mergeCell ref="B39:C39"/>
    <mergeCell ref="B41:C41"/>
    <mergeCell ref="B37:C38"/>
    <mergeCell ref="D37:D38"/>
    <mergeCell ref="E37:E38"/>
    <mergeCell ref="F37:F38"/>
    <mergeCell ref="G37:G38"/>
    <mergeCell ref="B23:C23"/>
    <mergeCell ref="B24:C24"/>
    <mergeCell ref="B25:C25"/>
    <mergeCell ref="A36:G36"/>
    <mergeCell ref="A37:A38"/>
    <mergeCell ref="A34:C34"/>
    <mergeCell ref="A35:G35"/>
    <mergeCell ref="B33:C33"/>
  </mergeCells>
  <dataValidations disablePrompts="1" count="3">
    <dataValidation type="decimal" operator="greaterThanOrEqual" allowBlank="1" showInputMessage="1" showErrorMessage="1" sqref="B10:B11 B18:C20 B22:C22 B15:C15 B7:C8 D39:D42" xr:uid="{00000000-0002-0000-0000-000000000000}">
      <formula1>0</formula1>
    </dataValidation>
    <dataValidation type="list" allowBlank="1" showInputMessage="1" showErrorMessage="1" sqref="E39:E42" xr:uid="{00000000-0002-0000-0000-000002000000}">
      <formula1>"Increases,Decreases,No Impact"</formula1>
    </dataValidation>
    <dataValidation type="decimal" operator="lessThanOrEqual" allowBlank="1" showInputMessage="1" showErrorMessage="1" sqref="C10:C11" xr:uid="{00000000-0002-0000-0000-000003000000}">
      <formula1>0</formula1>
    </dataValidation>
  </dataValidations>
  <pageMargins left="0.2" right="0.2" top="0.75" bottom="0.75" header="0.3" footer="0.3"/>
  <pageSetup scale="40" orientation="landscape" r:id="rId2"/>
  <headerFooter>
    <oddFooter>&amp;C&amp;P of &amp;N</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22"/>
  <sheetViews>
    <sheetView workbookViewId="0">
      <selection activeCell="D2" sqref="D2:D22"/>
    </sheetView>
  </sheetViews>
  <sheetFormatPr defaultRowHeight="15" x14ac:dyDescent="0.25"/>
  <cols>
    <col min="1" max="1" width="48" bestFit="1" customWidth="1"/>
    <col min="3" max="3" width="119" bestFit="1" customWidth="1"/>
    <col min="4" max="4" width="2.5703125" bestFit="1" customWidth="1"/>
  </cols>
  <sheetData>
    <row r="1" spans="1:4" x14ac:dyDescent="0.25">
      <c r="A1" s="1" t="s">
        <v>10</v>
      </c>
      <c r="B1" s="1" t="s">
        <v>11</v>
      </c>
      <c r="C1" s="1" t="s">
        <v>12</v>
      </c>
      <c r="D1" s="1"/>
    </row>
    <row r="2" spans="1:4" x14ac:dyDescent="0.25">
      <c r="A2" s="2" t="s">
        <v>60</v>
      </c>
      <c r="B2" s="3" t="s">
        <v>13</v>
      </c>
      <c r="C2" s="2" t="s">
        <v>14</v>
      </c>
      <c r="D2" s="60">
        <v>1</v>
      </c>
    </row>
    <row r="3" spans="1:4" x14ac:dyDescent="0.25">
      <c r="A3" s="2" t="s">
        <v>61</v>
      </c>
      <c r="B3" s="3" t="s">
        <v>13</v>
      </c>
      <c r="C3" s="2" t="s">
        <v>15</v>
      </c>
      <c r="D3" s="60">
        <v>1</v>
      </c>
    </row>
    <row r="4" spans="1:4" x14ac:dyDescent="0.25">
      <c r="A4" s="2" t="s">
        <v>62</v>
      </c>
      <c r="B4" s="3" t="s">
        <v>13</v>
      </c>
      <c r="C4" s="2" t="s">
        <v>16</v>
      </c>
      <c r="D4" s="60">
        <v>1</v>
      </c>
    </row>
    <row r="5" spans="1:4" x14ac:dyDescent="0.25">
      <c r="A5" s="2" t="s">
        <v>63</v>
      </c>
      <c r="B5" s="3" t="s">
        <v>13</v>
      </c>
      <c r="C5" s="2" t="s">
        <v>17</v>
      </c>
      <c r="D5" s="60">
        <v>1</v>
      </c>
    </row>
    <row r="6" spans="1:4" x14ac:dyDescent="0.25">
      <c r="A6" s="2" t="s">
        <v>64</v>
      </c>
      <c r="B6" s="3" t="s">
        <v>13</v>
      </c>
      <c r="C6" s="2" t="s">
        <v>18</v>
      </c>
      <c r="D6" s="60">
        <v>1</v>
      </c>
    </row>
    <row r="7" spans="1:4" x14ac:dyDescent="0.25">
      <c r="A7" s="2" t="s">
        <v>65</v>
      </c>
      <c r="B7" s="3" t="s">
        <v>13</v>
      </c>
      <c r="C7" s="2" t="s">
        <v>19</v>
      </c>
      <c r="D7" s="60">
        <v>1</v>
      </c>
    </row>
    <row r="8" spans="1:4" x14ac:dyDescent="0.25">
      <c r="A8" s="2" t="s">
        <v>66</v>
      </c>
      <c r="B8" s="3" t="s">
        <v>13</v>
      </c>
      <c r="C8" s="2" t="s">
        <v>20</v>
      </c>
      <c r="D8" s="60">
        <v>1</v>
      </c>
    </row>
    <row r="9" spans="1:4" x14ac:dyDescent="0.25">
      <c r="A9" s="2" t="s">
        <v>67</v>
      </c>
      <c r="B9" s="3" t="s">
        <v>13</v>
      </c>
      <c r="C9" s="2" t="s">
        <v>21</v>
      </c>
      <c r="D9" s="60">
        <v>-1</v>
      </c>
    </row>
    <row r="10" spans="1:4" x14ac:dyDescent="0.25">
      <c r="A10" s="2" t="s">
        <v>68</v>
      </c>
      <c r="B10" s="3" t="s">
        <v>13</v>
      </c>
      <c r="C10" s="2" t="s">
        <v>22</v>
      </c>
      <c r="D10" s="60">
        <v>1</v>
      </c>
    </row>
    <row r="11" spans="1:4" x14ac:dyDescent="0.25">
      <c r="A11" s="2" t="s">
        <v>69</v>
      </c>
      <c r="B11" s="3" t="s">
        <v>13</v>
      </c>
      <c r="C11" s="2"/>
      <c r="D11" s="60">
        <v>1</v>
      </c>
    </row>
    <row r="12" spans="1:4" x14ac:dyDescent="0.25">
      <c r="A12" s="2" t="s">
        <v>70</v>
      </c>
      <c r="B12" s="3" t="s">
        <v>23</v>
      </c>
      <c r="C12" s="2" t="s">
        <v>24</v>
      </c>
      <c r="D12" s="60">
        <v>-1</v>
      </c>
    </row>
    <row r="13" spans="1:4" x14ac:dyDescent="0.25">
      <c r="A13" s="2" t="s">
        <v>71</v>
      </c>
      <c r="B13" s="3" t="s">
        <v>23</v>
      </c>
      <c r="C13" s="2" t="s">
        <v>25</v>
      </c>
      <c r="D13" s="60">
        <v>-1</v>
      </c>
    </row>
    <row r="14" spans="1:4" x14ac:dyDescent="0.25">
      <c r="A14" s="2" t="s">
        <v>72</v>
      </c>
      <c r="B14" s="3" t="s">
        <v>23</v>
      </c>
      <c r="C14" s="2" t="s">
        <v>26</v>
      </c>
      <c r="D14" s="60">
        <v>1</v>
      </c>
    </row>
    <row r="15" spans="1:4" x14ac:dyDescent="0.25">
      <c r="A15" s="2" t="s">
        <v>73</v>
      </c>
      <c r="B15" s="3" t="s">
        <v>23</v>
      </c>
      <c r="C15" s="2" t="s">
        <v>27</v>
      </c>
      <c r="D15" s="60">
        <v>-1</v>
      </c>
    </row>
    <row r="16" spans="1:4" x14ac:dyDescent="0.25">
      <c r="A16" s="2" t="s">
        <v>74</v>
      </c>
      <c r="B16" s="3" t="s">
        <v>23</v>
      </c>
      <c r="C16" s="2" t="s">
        <v>28</v>
      </c>
      <c r="D16" s="60">
        <v>-1</v>
      </c>
    </row>
    <row r="17" spans="1:4" x14ac:dyDescent="0.25">
      <c r="A17" s="2" t="s">
        <v>75</v>
      </c>
      <c r="B17" s="3" t="s">
        <v>23</v>
      </c>
      <c r="C17" s="2" t="s">
        <v>29</v>
      </c>
      <c r="D17" s="60">
        <v>1</v>
      </c>
    </row>
    <row r="18" spans="1:4" x14ac:dyDescent="0.25">
      <c r="A18" s="2" t="s">
        <v>76</v>
      </c>
      <c r="B18" s="3" t="s">
        <v>23</v>
      </c>
      <c r="C18" s="2" t="s">
        <v>30</v>
      </c>
      <c r="D18" s="60">
        <v>-1</v>
      </c>
    </row>
    <row r="19" spans="1:4" x14ac:dyDescent="0.25">
      <c r="A19" s="2" t="s">
        <v>77</v>
      </c>
      <c r="B19" s="3" t="s">
        <v>23</v>
      </c>
      <c r="C19" s="2" t="s">
        <v>31</v>
      </c>
      <c r="D19" s="60">
        <v>1</v>
      </c>
    </row>
    <row r="20" spans="1:4" x14ac:dyDescent="0.25">
      <c r="A20" s="2" t="s">
        <v>78</v>
      </c>
      <c r="B20" s="3" t="s">
        <v>23</v>
      </c>
      <c r="C20" s="2" t="s">
        <v>32</v>
      </c>
      <c r="D20" s="60">
        <v>-1</v>
      </c>
    </row>
    <row r="21" spans="1:4" x14ac:dyDescent="0.25">
      <c r="A21" s="2" t="s">
        <v>79</v>
      </c>
      <c r="B21" s="3" t="s">
        <v>23</v>
      </c>
      <c r="C21" s="2" t="s">
        <v>33</v>
      </c>
      <c r="D21" s="60">
        <v>-1</v>
      </c>
    </row>
    <row r="22" spans="1:4" x14ac:dyDescent="0.25">
      <c r="A22" s="2" t="s">
        <v>80</v>
      </c>
      <c r="B22" s="3" t="s">
        <v>23</v>
      </c>
      <c r="C22" s="2" t="s">
        <v>34</v>
      </c>
      <c r="D22" s="60">
        <v>-1</v>
      </c>
    </row>
  </sheetData>
  <customSheetViews>
    <customSheetView guid="{D84D8FBE-0A02-4866-89EF-EADD513AFFA0}" state="hidden">
      <selection activeCell="D2" sqref="D2:D22"/>
      <pageMargins left="0.7" right="0.7" top="0.75" bottom="0.75" header="0.3" footer="0.3"/>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dlc_DocId xmlns="008318fa-2588-4fc3-855d-5932d0c2e437">FISPE-1052603018-9907</_dlc_DocId>
    <_dlc_DocIdUrl xmlns="008318fa-2588-4fc3-855d-5932d0c2e437">
      <Url>https://fisglobal.sharepoint.com/sites/Alternatives/PE/PS/_layouts/15/DocIdRedir.aspx?ID=FISPE-1052603018-9907</Url>
      <Description>FISPE-1052603018-9907</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79A415FC3D01C43B05D9DB7F0ABBD4B" ma:contentTypeVersion="20" ma:contentTypeDescription="Create a new document." ma:contentTypeScope="" ma:versionID="3786c1ebdd3b1f5872f9221e6fb04a64">
  <xsd:schema xmlns:xsd="http://www.w3.org/2001/XMLSchema" xmlns:xs="http://www.w3.org/2001/XMLSchema" xmlns:p="http://schemas.microsoft.com/office/2006/metadata/properties" xmlns:ns1="http://schemas.microsoft.com/sharepoint/v3" xmlns:ns2="008318fa-2588-4fc3-855d-5932d0c2e437" xmlns:ns3="8d91a2e9-bfa4-4294-9bac-e6c96dc22096" xmlns:ns4="502a1e1a-6100-4cb9-8132-6d558ddb427b" targetNamespace="http://schemas.microsoft.com/office/2006/metadata/properties" ma:root="true" ma:fieldsID="fa24e6d214ee9916b35cb433a973194f" ns1:_="" ns2:_="" ns3:_="" ns4:_="">
    <xsd:import namespace="http://schemas.microsoft.com/sharepoint/v3"/>
    <xsd:import namespace="008318fa-2588-4fc3-855d-5932d0c2e437"/>
    <xsd:import namespace="8d91a2e9-bfa4-4294-9bac-e6c96dc22096"/>
    <xsd:import namespace="502a1e1a-6100-4cb9-8132-6d558ddb427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4:SharedWithUsers" minOccurs="0"/>
                <xsd:element ref="ns4:SharedWithDetails" minOccurs="0"/>
                <xsd:element ref="ns3:MediaServiceAutoTags" minOccurs="0"/>
                <xsd:element ref="ns3:MediaServiceOCR"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8318fa-2588-4fc3-855d-5932d0c2e43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d91a2e9-bfa4-4294-9bac-e6c96dc2209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02a1e1a-6100-4cb9-8132-6d558ddb427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9DBD8F9-4F08-48DE-AD73-32B3228F68D6}">
  <ds:schemaRefs>
    <ds:schemaRef ds:uri="http://schemas.microsoft.com/sharepoint/v3/contenttype/forms"/>
  </ds:schemaRefs>
</ds:datastoreItem>
</file>

<file path=customXml/itemProps2.xml><?xml version="1.0" encoding="utf-8"?>
<ds:datastoreItem xmlns:ds="http://schemas.openxmlformats.org/officeDocument/2006/customXml" ds:itemID="{2787203D-7654-45B7-9C3D-F30C4007B257}">
  <ds:schemaRefs>
    <ds:schemaRef ds:uri="http://www.w3.org/XML/1998/namespace"/>
    <ds:schemaRef ds:uri="http://purl.org/dc/terms/"/>
    <ds:schemaRef ds:uri="http://schemas.microsoft.com/office/infopath/2007/PartnerControls"/>
    <ds:schemaRef ds:uri="http://purl.org/dc/elements/1.1/"/>
    <ds:schemaRef ds:uri="http://schemas.microsoft.com/sharepoint/v3"/>
    <ds:schemaRef ds:uri="008318fa-2588-4fc3-855d-5932d0c2e437"/>
    <ds:schemaRef ds:uri="502a1e1a-6100-4cb9-8132-6d558ddb427b"/>
    <ds:schemaRef ds:uri="http://schemas.microsoft.com/office/2006/documentManagement/types"/>
    <ds:schemaRef ds:uri="8d91a2e9-bfa4-4294-9bac-e6c96dc22096"/>
    <ds:schemaRef ds:uri="http://schemas.microsoft.com/office/2006/metadata/propertie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68ADEAAD-1716-4D3F-8F06-41B1C6F62B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08318fa-2588-4fc3-855d-5932d0c2e437"/>
    <ds:schemaRef ds:uri="8d91a2e9-bfa4-4294-9bac-e6c96dc22096"/>
    <ds:schemaRef ds:uri="502a1e1a-6100-4cb9-8132-6d558ddb42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3FBC7CA-2FE9-4EF3-BE3D-795A946369B4}">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44</vt:i4>
      </vt:variant>
    </vt:vector>
  </HeadingPairs>
  <TitlesOfParts>
    <vt:vector size="46" baseType="lpstr">
      <vt:lpstr>56707_Florida Atlantic Universi</vt:lpstr>
      <vt:lpstr>Definitions</vt:lpstr>
      <vt:lpstr>lngWaterfallHeader</vt:lpstr>
      <vt:lpstr>lngWaterfallRowCarryPaidAB</vt:lpstr>
      <vt:lpstr>lngWaterfallRowDistrCash</vt:lpstr>
      <vt:lpstr>lngWaterfallRowROC</vt:lpstr>
      <vt:lpstr>lngWaterfallRowSplitA</vt:lpstr>
      <vt:lpstr>lngWaterfallRowSplitB</vt:lpstr>
      <vt:lpstr>'56707_Florida Atlantic Universi'!Print_Area</vt:lpstr>
      <vt:lpstr>rngBegBal226</vt:lpstr>
      <vt:lpstr>rngContribCumulative</vt:lpstr>
      <vt:lpstr>rngContribFundAmount</vt:lpstr>
      <vt:lpstr>rngContribLpCumulative</vt:lpstr>
      <vt:lpstr>rngContribLpCumulative219</vt:lpstr>
      <vt:lpstr>rngContribLpInvestor</vt:lpstr>
      <vt:lpstr>rngDistribCumulative</vt:lpstr>
      <vt:lpstr>rngDistribFundAmount</vt:lpstr>
      <vt:lpstr>rngDistribLpCumulative</vt:lpstr>
      <vt:lpstr>rngDistribLpCumulative219</vt:lpstr>
      <vt:lpstr>rngDistribLpInvestor</vt:lpstr>
      <vt:lpstr>rngDueDate</vt:lpstr>
      <vt:lpstr>rngFeeOffset</vt:lpstr>
      <vt:lpstr>rngFundLocalCurrency</vt:lpstr>
      <vt:lpstr>rngFundSizeAivs</vt:lpstr>
      <vt:lpstr>rngGpCommitment</vt:lpstr>
      <vt:lpstr>rngGrossCalc</vt:lpstr>
      <vt:lpstr>rngImpact2172</vt:lpstr>
      <vt:lpstr>rngImpact2173</vt:lpstr>
      <vt:lpstr>rngInvestorDetail</vt:lpstr>
      <vt:lpstr>rngIssueDate</vt:lpstr>
      <vt:lpstr>rngLegalEntity</vt:lpstr>
      <vt:lpstr>rngLimitedPartnerCommitment</vt:lpstr>
      <vt:lpstr>rngLimitedPartnerName</vt:lpstr>
      <vt:lpstr>rngLpUnfundedCommitment</vt:lpstr>
      <vt:lpstr>rngMgmtFees</vt:lpstr>
      <vt:lpstr>rngMgmtFeesCall</vt:lpstr>
      <vt:lpstr>rngMgmtFeesCum</vt:lpstr>
      <vt:lpstr>rngMgmtFeesHeader</vt:lpstr>
      <vt:lpstr>rngMgmtFeesWaiver</vt:lpstr>
      <vt:lpstr>rngSideCalcMgmtFee</vt:lpstr>
      <vt:lpstr>rngSideCalculations</vt:lpstr>
      <vt:lpstr>rngSideCalcWaterfall</vt:lpstr>
      <vt:lpstr>rngWaterfallGPs</vt:lpstr>
      <vt:lpstr>rngWaterfallLPs</vt:lpstr>
      <vt:lpstr>rngWaterfallTotal</vt:lpstr>
      <vt:lpstr>rngWaterfallTrimmedName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Foley, Joseph</dc:creator>
  <cp:lastModifiedBy>Foley, Joseph</cp:lastModifiedBy>
  <cp:lastPrinted>2020-07-02T14:29:38Z</cp:lastPrinted>
  <dcterms:created xsi:type="dcterms:W3CDTF">2010-08-17T20:14:37Z</dcterms:created>
  <dcterms:modified xsi:type="dcterms:W3CDTF">2025-06-17T22:54:16Z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0x010100F79A415FC3D01C43B05D9DB7F0ABBD4B</vt:lpwstr>
  </property>
  <property fmtid="{D5CDD505-2E9C-101B-9397-08002B2CF9AE}" pid="3" name="_dlc_DocIdItemGuid">
    <vt:lpwstr>7d007ab7-7367-4341-94cc-108148992aba</vt:lpwstr>
  </property>
</Properties>
</file>