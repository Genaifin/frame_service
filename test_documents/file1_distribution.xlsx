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59f52b413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843ab2c3641409effcc1feec0596e.psmdcp" Id="R208f2d75d0e9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calcChain.xml><?xml version="1.0" encoding="utf-8"?>
<x:calcChain xmlns:x="http://schemas.openxmlformats.org/spreadsheetml/2006/main">
  <x:c r="B25" i="2"/>
  <x:c r="B71" i="2"/>
  <x:c r="C71" i="2"/>
  <x:c r="D71" i="2"/>
  <x:c r="E71" i="2"/>
  <x:c r="B82" i="2"/>
  <x:c r="C82" i="2"/>
  <x:c r="D82" i="2"/>
  <x:c r="E82" i="2"/>
  <x:c r="B93" i="2"/>
  <x:c r="C93" i="2"/>
  <x:c r="D93" i="2"/>
  <x:c r="E93" i="2"/>
  <x:c r="B104" i="2"/>
  <x:c r="C104" i="2"/>
  <x:c r="D104" i="2"/>
  <x:c r="E104" i="2"/>
  <x:c r="B115" i="2"/>
  <x:c r="C115" i="2"/>
  <x:c r="D115" i="2"/>
  <x:c r="E115" i="2"/>
  <x:c r="B126" i="2"/>
  <x:c r="C126" i="2"/>
  <x:c r="D126" i="2"/>
  <x:c r="E126" i="2"/>
  <x:c r="B137" i="2"/>
  <x:c r="C137" i="2"/>
  <x:c r="D137" i="2"/>
  <x:c r="E137" i="2"/>
  <x:c r="B148" i="2"/>
  <x:c r="C148" i="2"/>
  <x:c r="D148" i="2"/>
  <x:c r="E148" i="2"/>
  <x:c r="B159" i="2"/>
  <x:c r="C159" i="2"/>
  <x:c r="D159" i="2"/>
  <x:c r="E159" i="2"/>
  <x:c r="B170" i="2"/>
  <x:c r="C170" i="2"/>
  <x:c r="D170" i="2"/>
  <x:c r="E170" i="2"/>
  <x:c r="B181" i="2"/>
  <x:c r="C181" i="2"/>
  <x:c r="D181" i="2"/>
  <x:c r="E181" i="2"/>
</x:calcChain>
</file>

<file path=xl/sharedStrings.xml><?xml version="1.0" encoding="utf-8"?>
<x:sst xmlns:x="http://schemas.openxmlformats.org/spreadsheetml/2006/main" count="111" uniqueCount="111">
  <x:si>
    <x:t>ILPA Capital Call &amp; Distribution Template</x:t>
  </x:si>
  <x:si>
    <x:r>
      <x:rPr>
        <x:b/>
        <x:vertAlign val="baseline"/>
        <x:sz val="12"/>
        <x:color rgb="FFFF0000"/>
        <x:rFont val="Arial"/>
        <x:family val="2"/>
      </x:rPr>
      <x:t>2.01</x:t>
    </x:r>
    <x:r>
      <x:rPr>
        <x:b/>
        <x:vertAlign val="baseline"/>
        <x:sz val="12"/>
        <x:color rgb="FF000000"/>
        <x:rFont val="Arial"/>
        <x:family val="2"/>
      </x:rPr>
      <x:t xml:space="preserve"> Fund Name</x:t>
    </x:r>
  </x:si>
  <x:si>
    <x:t>Blackstone Real Estate Partners IX</x:t>
  </x:si>
  <x:si>
    <x:r>
      <x:rPr>
        <x:b/>
        <x:vertAlign val="baseline"/>
        <x:sz val="10"/>
        <x:color rgb="FFFF0000"/>
        <x:rFont val="Arial"/>
        <x:family val="2"/>
      </x:rPr>
      <x:t>Section A</x:t>
    </x:r>
    <x:r>
      <x:rPr>
        <x:b/>
        <x:vertAlign val="baseline"/>
        <x:sz val="10"/>
        <x:color rgb="FF000000"/>
        <x:rFont val="Arial"/>
        <x:family val="2"/>
      </x:rPr>
      <x:t>: Fund Level / Cash Flow Information (Fund Local Currency)</x:t>
    </x:r>
  </x:si>
  <x:si>
    <x:r>
      <x:rPr>
        <x:b/>
        <x:vertAlign val="baseline"/>
        <x:sz val="10"/>
        <x:color rgb="FFFF0000"/>
        <x:rFont val="Arial"/>
        <x:family val="2"/>
      </x:rPr>
      <x:t>2.02</x:t>
    </x:r>
    <x:r>
      <x:rPr>
        <x:vertAlign val="baseline"/>
        <x:sz val="10"/>
        <x:color rgb="FF000000"/>
        <x:rFont val="Arial"/>
        <x:family val="2"/>
      </x:rPr>
      <x:t xml:space="preserve"> Issue Date (MM-DD-YYYY):</x:t>
    </x:r>
  </x:si>
  <x:si>
    <x:r>
      <x:rPr>
        <x:b/>
        <x:vertAlign val="baseline"/>
        <x:sz val="10"/>
        <x:color rgb="FFFF0000"/>
        <x:rFont val="Arial"/>
        <x:family val="2"/>
      </x:rPr>
      <x:t>2.03</x:t>
    </x:r>
    <x:r>
      <x:rPr>
        <x:vertAlign val="baseline"/>
        <x:sz val="10"/>
        <x:color rgb="FF000000"/>
        <x:rFont val="Arial"/>
        <x:family val="2"/>
      </x:rPr>
      <x:t xml:space="preserve"> Due Date (MM-DD-YYYY):</x:t>
    </x:r>
  </x:si>
  <x:si>
    <x:r>
      <x:rPr>
        <x:b/>
        <x:vertAlign val="baseline"/>
        <x:sz val="10"/>
        <x:color rgb="FFFF0000"/>
        <x:rFont val="Arial"/>
        <x:family val="2"/>
      </x:rPr>
      <x:t>2.04</x:t>
    </x:r>
    <x:r>
      <x:rPr>
        <x:vertAlign val="baseline"/>
        <x:sz val="10"/>
        <x:color rgb="FF000000"/>
        <x:rFont val="Arial"/>
        <x:family val="2"/>
      </x:rPr>
      <x:t xml:space="preserve"> Fund Local Currency:</x:t>
    </x:r>
  </x:si>
  <x:si>
    <x:t>USD</x:t>
  </x:si>
  <x:si>
    <x:r>
      <x:rPr>
        <x:b/>
        <x:vertAlign val="baseline"/>
        <x:sz val="10"/>
        <x:color rgb="FFFF0000"/>
        <x:rFont val="Arial"/>
        <x:family val="2"/>
      </x:rPr>
      <x:t>2.05</x:t>
    </x:r>
    <x:r>
      <x:rPr>
        <x:vertAlign val="baseline"/>
        <x:sz val="10"/>
        <x:color rgb="FF000000"/>
        <x:rFont val="Arial"/>
        <x:family val="2"/>
      </x:rPr>
      <x:t xml:space="preserve"> GP Commitment:</x:t>
    </x:r>
  </x:si>
  <x:si>
    <x:r>
      <x:rPr>
        <x:b/>
        <x:vertAlign val="baseline"/>
        <x:sz val="10"/>
        <x:color rgb="FFFF0000"/>
        <x:rFont val="Arial"/>
        <x:family val="2"/>
      </x:rPr>
      <x:t>2.06</x:t>
    </x:r>
    <x:r>
      <x:rPr>
        <x:vertAlign val="baseline"/>
        <x:sz val="10"/>
        <x:color rgb="FF000000"/>
        <x:rFont val="Arial"/>
        <x:family val="2"/>
      </x:rPr>
      <x:t xml:space="preserve"> Fund Size, Including all AIVs (Fund Local Currency):</x:t>
    </x:r>
  </x:si>
  <x:si>
    <x:t>Fund Aggregate Calls / Distributions (Incl. GP's Share)</x:t>
  </x:si>
  <x:si>
    <x:t>Contributions</x:t>
  </x:si>
  <x:si>
    <x:t>(Distributions)</x:t>
  </x:si>
  <x:si>
    <x:r>
      <x:rPr>
        <x:b/>
        <x:vertAlign val="baseline"/>
        <x:sz val="10"/>
        <x:color rgb="FFFF0000"/>
        <x:rFont val="Arial"/>
        <x:family val="2"/>
      </x:rPr>
      <x:t>2.07</x:t>
    </x:r>
    <x:r>
      <x:rPr>
        <x:vertAlign val="baseline"/>
        <x:sz val="10"/>
        <x:color rgb="FF000000"/>
        <x:rFont val="Arial"/>
        <x:family val="2"/>
      </x:rPr>
      <x:t xml:space="preserve"> Cumulative Fund Amount(Prior To Current Notice) ¹,²:</x:t>
    </x:r>
  </x:si>
  <x:si>
    <x:r>
      <x:rPr>
        <x:b/>
        <x:vertAlign val="baseline"/>
        <x:sz val="10"/>
        <x:color rgb="FFFF0000"/>
        <x:rFont val="Arial"/>
        <x:family val="2"/>
      </x:rPr>
      <x:t>2.08</x:t>
    </x:r>
    <x:r>
      <x:rPr>
        <x:vertAlign val="baseline"/>
        <x:sz val="10"/>
        <x:color rgb="FF000000"/>
        <x:rFont val="Arial"/>
        <x:family val="2"/>
      </x:rPr>
      <x:t xml:space="preserve"> Fund Amount(Current Notice):</x:t>
    </x:r>
  </x:si>
  <x:si>
    <x:t>Cumulative Fund Amount (Including Current Notice)²:</x:t>
  </x:si>
  <x:si>
    <x:r>
      <x:rPr>
        <x:b/>
        <x:vertAlign val="baseline"/>
        <x:sz val="10"/>
        <x:color rgb="FFFF0000"/>
        <x:rFont val="Arial"/>
        <x:family val="2"/>
      </x:rPr>
      <x:t>Section B</x:t>
    </x:r>
    <x:r>
      <x:rPr>
        <x:b/>
        <x:vertAlign val="baseline"/>
        <x:sz val="10"/>
        <x:color rgb="FF000000"/>
        <x:rFont val="Arial"/>
        <x:family val="2"/>
      </x:rPr>
      <x:t>: LP Information (Fund Local Currency) - Enter the Values as Positive Amounts</x:t>
    </x:r>
  </x:si>
  <x:si>
    <x:r>
      <x:rPr>
        <x:b/>
        <x:vertAlign val="baseline"/>
        <x:sz val="10"/>
        <x:color rgb="FFFF0000"/>
        <x:rFont val="Arial"/>
        <x:family val="2"/>
      </x:rPr>
      <x:t>2.09</x:t>
    </x:r>
    <x:r>
      <x:rPr>
        <x:vertAlign val="baseline"/>
        <x:sz val="10"/>
        <x:color rgb="FF000000"/>
        <x:rFont val="Arial"/>
        <x:family val="2"/>
      </x:rPr>
      <x:t xml:space="preserve"> LP / ID Number:</x:t>
    </x:r>
  </x:si>
  <x:si>
    <x:t>Brooks Haven Investments LLC</x:t>
  </x:si>
  <x:si>
    <x:r>
      <x:rPr>
        <x:b/>
        <x:vertAlign val="baseline"/>
        <x:sz val="10"/>
        <x:color rgb="FFFF0000"/>
        <x:rFont val="Arial"/>
        <x:family val="2"/>
      </x:rPr>
      <x:t>2.10</x:t>
    </x:r>
    <x:r>
      <x:rPr>
        <x:vertAlign val="baseline"/>
        <x:sz val="10"/>
        <x:color rgb="FF000000"/>
        <x:rFont val="Arial"/>
        <x:family val="2"/>
      </x:rPr>
      <x:t xml:space="preserve"> LP Commitment</x:t>
    </x:r>
  </x:si>
  <x:si>
    <x:t xml:space="preserve">       LP % of Fund (LP Commitment / Fund Size)</x:t>
  </x:si>
  <x:si>
    <x:r>
      <x:rPr>
        <x:b/>
        <x:vertAlign val="baseline"/>
        <x:sz val="10"/>
        <x:color rgb="FFFF0000"/>
        <x:rFont val="Arial"/>
        <x:family val="2"/>
      </x:rPr>
      <x:t>2.11</x:t>
    </x:r>
    <x:r>
      <x:rPr>
        <x:vertAlign val="baseline"/>
        <x:sz val="10"/>
        <x:color rgb="FF000000"/>
        <x:rFont val="Arial"/>
        <x:family val="2"/>
      </x:rPr>
      <x:t xml:space="preserve"> LP % of Cap. Account (% used to calc. LP's share of call/dist.)</x:t>
    </x:r>
  </x:si>
  <x:si>
    <x:r>
      <x:rPr>
        <x:b/>
        <x:vertAlign val="baseline"/>
        <x:sz val="10"/>
        <x:color rgb="FFFF0000"/>
        <x:rFont val="Arial"/>
        <x:family val="2"/>
      </x:rPr>
      <x:t>2.12</x:t>
    </x:r>
    <x:r>
      <x:rPr>
        <x:vertAlign val="baseline"/>
        <x:sz val="10"/>
        <x:color rgb="FF000000"/>
        <x:rFont val="Arial"/>
        <x:family val="2"/>
      </x:rPr>
      <x:t xml:space="preserve"> LP Unfunded Commitment¹ (Prior to current notice)</x:t>
    </x:r>
  </x:si>
  <x:si>
    <x:r>
      <x:rPr>
        <x:b/>
        <x:vertAlign val="baseline"/>
        <x:sz val="10"/>
        <x:color rgb="FFFF0000"/>
        <x:rFont val="Arial"/>
        <x:family val="2"/>
      </x:rPr>
      <x:t>2.13</x:t>
    </x:r>
    <x:r>
      <x:rPr>
        <x:vertAlign val="baseline"/>
        <x:sz val="10"/>
        <x:color rgb="FF000000"/>
        <x:rFont val="Arial"/>
        <x:family val="2"/>
      </x:rPr>
      <x:t xml:space="preserve"> LP Cumulative Contributions¹,² (Prior to current notice)</x:t>
    </x:r>
  </x:si>
  <x:si>
    <x:r>
      <x:rPr>
        <x:b/>
        <x:vertAlign val="baseline"/>
        <x:sz val="10"/>
        <x:color rgb="FFFF0000"/>
        <x:rFont val="Arial"/>
        <x:family val="2"/>
      </x:rPr>
      <x:t>2.14</x:t>
    </x:r>
    <x:r>
      <x:rPr>
        <x:vertAlign val="baseline"/>
        <x:sz val="10"/>
        <x:color rgb="FF000000"/>
        <x:rFont val="Arial"/>
        <x:family val="2"/>
      </x:rPr>
      <x:t xml:space="preserve"> LP Cumulative Distributions¹,² (Prior to current notice)</x:t>
    </x:r>
  </x:si>
  <x:si>
    <x:t>LP Balances / Totals (Fund Local Currency) - Formulas, Do Not Overwrite</x:t>
  </x:si>
  <x:si>
    <x:r>
      <x:rPr>
        <x:b/>
        <x:vertAlign val="baseline"/>
        <x:sz val="10"/>
        <x:color rgb="FFFF0000"/>
        <x:rFont val="Arial"/>
        <x:family val="2"/>
      </x:rPr>
      <x:t>2.19</x:t>
    </x:r>
    <x:r>
      <x:rPr>
        <x:b/>
        <x:vertAlign val="baseline"/>
        <x:sz val="10"/>
        <x:color rgb="FF000000"/>
        <x:rFont val="Arial"/>
        <x:family val="2"/>
      </x:rPr>
      <x:t xml:space="preserve"> Unfunded Commitment</x:t>
    </x:r>
  </x:si>
  <x:si>
    <x:t xml:space="preserve">    Unfunded Balance (Prior to Current Notice) ¹</x:t>
  </x:si>
  <x:si>
    <x:t xml:space="preserve">    Impact on Unfunded Balance (Current Notice)</x:t>
  </x:si>
  <x:si>
    <x:t xml:space="preserve">    Unfunded Balance (Including Current Notice)</x:t>
  </x:si>
  <x:si>
    <x:t>Aggregate Calls / Distributions</x:t>
  </x:si>
  <x:si>
    <x:t>Contributions²</x:t>
  </x:si>
  <x:si>
    <x:t>(Distributions)²</x:t>
  </x:si>
  <x:si>
    <x:r>
      <x:rPr>
        <x:b/>
        <x:vertAlign val="baseline"/>
        <x:sz val="10"/>
        <x:color rgb="FFFF0000"/>
        <x:rFont val="Arial"/>
        <x:family val="2"/>
      </x:rPr>
      <x:t>2.20</x:t>
    </x:r>
    <x:r>
      <x:rPr>
        <x:vertAlign val="baseline"/>
        <x:sz val="10"/>
        <x:color rgb="FF000000"/>
        <x:rFont val="Arial"/>
        <x:family val="2"/>
      </x:rPr>
      <x:t xml:space="preserve"> Cumulative LP Amount (Prior To Current Notice) ¹,²:</x:t>
    </x:r>
  </x:si>
  <x:si>
    <x:t xml:space="preserve">                                as a % of Fund Amount²</x:t>
  </x:si>
  <x:si>
    <x:r>
      <x:rPr>
        <x:b/>
        <x:vertAlign val="baseline"/>
        <x:sz val="10"/>
        <x:color rgb="FFFF0000"/>
        <x:rFont val="Arial"/>
        <x:family val="2"/>
      </x:rPr>
      <x:t>2.21</x:t>
    </x:r>
    <x:r>
      <x:rPr>
        <x:vertAlign val="baseline"/>
        <x:sz val="10"/>
        <x:color rgb="FF000000"/>
        <x:rFont val="Arial"/>
        <x:family val="2"/>
      </x:rPr>
      <x:t xml:space="preserve"> LP Amount (Current Notice):</x:t>
    </x:r>
  </x:si>
  <x:si>
    <x:t xml:space="preserve">                                as a % of Fund Amount</x:t>
  </x:si>
  <x:si>
    <x:r>
      <x:rPr>
        <x:b/>
        <x:vertAlign val="baseline"/>
        <x:sz val="10"/>
        <x:color rgb="FFFF0000"/>
        <x:rFont val="Arial"/>
        <x:family val="2"/>
      </x:rPr>
      <x:t>2.22</x:t>
    </x:r>
    <x:r>
      <x:rPr>
        <x:vertAlign val="baseline"/>
        <x:sz val="10"/>
        <x:color rgb="FF000000"/>
        <x:rFont val="Arial"/>
        <x:family val="2"/>
      </x:rPr>
      <x:t xml:space="preserve"> Cumulative LP amount (Including Current Notice) ²:</x:t>
    </x:r>
  </x:si>
  <x:si>
    <x:r>
      <x:rPr>
        <x:b/>
        <x:vertAlign val="baseline"/>
        <x:sz val="11.5"/>
        <x:color rgb="FFFF0000"/>
        <x:rFont val="Arial"/>
        <x:family val="2"/>
      </x:rPr>
      <x:t>2.23</x:t>
    </x:r>
    <x:r>
      <x:rPr>
        <x:b/>
        <x:vertAlign val="baseline"/>
        <x:sz val="11.5"/>
        <x:color rgb="FF000000"/>
        <x:rFont val="Arial"/>
        <x:family val="2"/>
      </x:rPr>
      <x:t xml:space="preserve"> LP Total Net Amount Called / (Distributed) - 
 Current Notice </x:t>
    </x:r>
  </x:si>
  <x:si>
    <x:t>¹ If value does not match the ending balance from the prior notice, please provide a description for the variance in a side calculation (Section D - 2.28)</x:t>
  </x:si>
  <x:si>
    <x:t>² Due to variations in the definitions used by different funds, these balances may not necessarily tie to cumulative contributions/distributions reported in quarterly fund financials; Do not use these balances to calculate performance multiples (e.g. DPI)</x:t>
  </x:si>
  <x:si>
    <x:r>
      <x:rPr>
        <x:b/>
        <x:vertAlign val="baseline"/>
        <x:sz val="12"/>
        <x:color rgb="FFFF0000"/>
        <x:rFont val="Arial"/>
        <x:family val="2"/>
      </x:rPr>
      <x:t>Section C</x:t>
    </x:r>
    <x:r>
      <x:rPr>
        <x:b/>
        <x:vertAlign val="baseline"/>
        <x:sz val="12"/>
        <x:color rgb="FF000000"/>
        <x:rFont val="Arial"/>
        <x:family val="2"/>
      </x:rPr>
      <x:t>:  Worksheet - LP Amounts (Fund Local Currency) - Please include any transactions that net to zero</x:t>
    </x:r>
  </x:si>
  <x:si>
    <x:r>
      <x:rPr>
        <x:b/>
        <x:vertAlign val="baseline"/>
        <x:sz val="10"/>
        <x:color rgb="FFFF0000"/>
        <x:rFont val="Arial"/>
        <x:family val="2"/>
      </x:rPr>
      <x:t>2.15</x:t>
    </x:r>
    <x:r>
      <x:rPr>
        <x:b/>
        <x:vertAlign val="baseline"/>
        <x:sz val="10"/>
        <x:color rgb="FF000000"/>
        <x:rFont val="Arial"/>
        <x:family val="2"/>
      </x:rPr>
      <x:t xml:space="preserve"> Holding Name / Transaction Description 
 (If applicable, please provide a 2 - 3 word description of each 
 transaction, particularly for misc.fees or income)</x:t>
    </x:r>
  </x:si>
  <x:si>
    <x:r>
      <x:rPr>
        <x:b/>
        <x:vertAlign val="baseline"/>
        <x:sz val="10"/>
        <x:color rgb="FFFF0000"/>
        <x:rFont val="Arial"/>
        <x:family val="2"/>
      </x:rPr>
      <x:t>2.16</x:t>
    </x:r>
    <x:r>
      <x:rPr>
        <x:b/>
        <x:vertAlign val="baseline"/>
        <x:sz val="10"/>
        <x:color rgb="FF000000"/>
        <x:rFont val="Arial"/>
        <x:family val="2"/>
      </x:rPr>
      <x:t xml:space="preserve"> Transaction Type
 (Choose from Dropdown)</x:t>
    </x:r>
  </x:si>
  <x:si>
    <x:r>
      <x:rPr>
        <x:b/>
        <x:vertAlign val="baseline"/>
        <x:sz val="10"/>
        <x:color rgb="FFFF0000"/>
        <x:rFont val="Arial"/>
        <x:family val="2"/>
      </x:rPr>
      <x:t>2.17</x:t>
    </x:r>
    <x:r>
      <x:rPr>
        <x:b/>
        <x:vertAlign val="baseline"/>
        <x:sz val="10"/>
        <x:color rgb="FF000000"/>
        <x:rFont val="Arial"/>
        <x:family val="2"/>
      </x:rPr>
      <x:t xml:space="preserve"> LP Amount
 (Enter all Values as 
 Positive Amounts)</x:t>
    </x:r>
  </x:si>
  <x:si>
    <x:r>
      <x:rPr>
        <x:b/>
        <x:vertAlign val="baseline"/>
        <x:sz val="10"/>
        <x:color rgb="FFFF0000"/>
        <x:rFont val="Arial"/>
        <x:family val="2"/>
      </x:rPr>
      <x:t>2.18</x:t>
    </x:r>
    <x:r>
      <x:rPr>
        <x:b/>
        <x:vertAlign val="baseline"/>
        <x:sz val="10"/>
        <x:color rgb="FF000000"/>
        <x:rFont val="Arial"/>
        <x:family val="2"/>
      </x:rPr>
      <x:t xml:space="preserve"> Impact on Unfunded Commitment 
(Choose from Dropdown)</x:t>
    </x:r>
  </x:si>
  <x:si>
    <x:t>Formulas, Do Not Overwrite</x:t>
  </x:si>
  <x:si>
    <x:t>Value Impact on Unfunded Commitment
 (Net Contributed)</x:t>
  </x:si>
  <x:si>
    <x:t>Net Amount 
 Called / 
 (Distributed) - 
Current Notice</x:t>
  </x:si>
  <x:si>
    <x:t>SKYY Data Centers</x:t>
  </x:si>
  <x:si>
    <x:t>Dist: Return of Capital - Cash</x:t>
  </x:si>
  <x:si>
    <x:t>No Impact</x:t>
  </x:si>
  <x:si>
    <x:t>SKYY Data Centers (Return of Fees &amp; Expenses)</x:t>
  </x:si>
  <x:si>
    <x:t>Dist: Realized Gain - Cash</x:t>
  </x:si>
  <x:si>
    <x:t>Bradley Multifamily 2-Pack</x:t>
  </x:si>
  <x:si>
    <x:t>Bradley Multifamily 2-Pack (Return of Fees &amp; Expenses)</x:t>
  </x:si>
  <x:si>
    <x:t>Vesta Industrial Development Portfolio</x:t>
  </x:si>
  <x:si>
    <x:t>Extended Stay America, Inc.</x:t>
  </x:si>
  <x:si>
    <x:t>Extended Stay America, Inc. (Return of Fees &amp; Expenses)</x:t>
  </x:si>
  <x:si>
    <x:t>Japan Residential Portfolio IV</x:t>
  </x:si>
  <x:si>
    <x:t>Japan Residential Portfolio IV (Return of Fees &amp; Expenses)</x:t>
  </x:si>
  <x:si>
    <x:t>European Big-Box Logistics Portfolio II</x:t>
  </x:si>
  <x:si>
    <x:t>European Big-Box Logistics Portfolio II (Return of Fees &amp; Expenses)</x:t>
  </x:si>
  <x:si>
    <x:t>Echigo Residential Portfolio</x:t>
  </x:si>
  <x:si>
    <x:t>Echigo Residential Portfolio (Return of Fees &amp; Expenses)</x:t>
  </x:si>
  <x:si>
    <x:t>Prestige Portfolio</x:t>
  </x:si>
  <x:si>
    <x:t>Prestige Portfolio (Return of Fees &amp; Expenses)</x:t>
  </x:si>
  <x:si>
    <x:t>Sheraton Phoenix</x:t>
  </x:si>
  <x:si>
    <x:t>Dist: Income/Dividends</x:t>
  </x:si>
  <x:si>
    <x:r>
      <x:rPr>
        <x:b/>
        <x:vertAlign val="baseline"/>
        <x:sz val="12"/>
        <x:color rgb="FFFF0000"/>
        <x:rFont val="Arial"/>
        <x:family val="2"/>
      </x:rPr>
      <x:t>Section D</x:t>
    </x:r>
    <x:r>
      <x:rPr>
        <x:b/>
        <x:vertAlign val="baseline"/>
        <x:sz val="12"/>
        <x:color rgb="FF000000"/>
        <x:rFont val="Arial"/>
        <x:family val="2"/>
      </x:rPr>
      <x:t>: Side Calculations (Fund Local Currency)</x:t>
    </x:r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</x:si>
  <x:si>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</x:si>
  <x:si>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Sheraton Phoenix Income</x:t>
  </x:si>
  <x:si>
    <x:t>Investor</x:t>
  </x:si>
  <x:si>
    <x:t>All LPs</x:t>
  </x:si>
  <x:si>
    <x:t>GP</x:t>
  </x:si>
  <x:si>
    <x:t>Total</x:t>
  </x:si>
  <x:si>
    <x:t>Distributable Cash</x:t>
  </x:si>
  <x:si>
    <x:t>Withheld Expenses</x:t>
  </x:si>
  <x:si>
    <x:t>Recouped AFE</x:t>
  </x:si>
  <x:si>
    <x:t>Recouped Losses</x:t>
  </x:si>
  <x:si>
    <x:t>Gain - Current Income</x:t>
  </x:si>
  <x:si>
    <x:t>G/L - pre LP/GP split [A]</x:t>
  </x:si>
  <x:si>
    <x:t>G/L - after LP/GP Split [B]</x:t>
  </x:si>
  <x:si>
    <x:t>Carry Paid/ (Received)[A - B]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</x:si>
  <x:si>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</x:si>
  <x:si>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Extended Stay America, Inc. Income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</x:si>
  <x:si>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</x:si>
  <x:si>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SKYY Data Centers Income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</x:si>
  <x:si>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</x:si>
  <x:si>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European Big-Box Logistics Portfolio II Sale</x:t>
  </x:si>
  <x:si>
    <x:t>Return Of Capital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</x:si>
  <x:si>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</x:si>
  <x:si>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Bradley Multifamily 2-Pack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</x:si>
  <x:si>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</x:si>
  <x:si>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Japan Residential Portfolio IV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</x:si>
  <x:si>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</x:si>
  <x:si>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Echigo Residential Portfolio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</x:si>
  <x:si>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</x:si>
  <x:si>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Prestige Portfolio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</x:si>
  <x:si>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</x:si>
  <x:si>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Extended Stay America, Inc.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</x:si>
  <x:si>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</x:si>
  <x:si>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SKYY Data Centers Sale</x:t>
  </x:si>
  <x:si>
    <x:r>
      <x:rPr>
        <x:b/>
        <x:vertAlign val="baseline"/>
        <x:sz val="10"/>
        <x:color rgb="FFFF0000"/>
        <x:rFont val="Arial"/>
        <x:family val="2"/>
      </x:rPr>
      <x:t>2.26</x:t>
    </x:r>
    <x:r>
      <x:rPr>
        <x:b/>
        <x:vertAlign val="baseline"/>
        <x:sz val="10"/>
        <x:color rgb="FF000000"/>
        <x:rFont val="Arial"/>
        <x:family val="2"/>
      </x:rPr>
      <x:t xml:space="preserve"> Waterfall/Carry Calculation (per Section 4 of LPA)</x:t>
    </x:r>
  </x:si>
  <x:si>
    <x:t>Vesta Industrial Development Portfolio Sale</x:t>
  </x:si>
  <x:si>
    <x:r>
      <x:rPr>
        <x:b/>
        <x:vertAlign val="baseline"/>
        <x:sz val="10"/>
        <x:color rgb="FFFF0000"/>
        <x:rFont val="Arial"/>
        <x:family val="2"/>
      </x:rPr>
      <x:t>2.27</x:t>
    </x:r>
    <x:r>
      <x:rPr>
        <x:b/>
        <x:vertAlign val="baseline"/>
        <x:sz val="10"/>
        <x:color rgb="FF000000"/>
        <x:rFont val="Arial"/>
        <x:family val="2"/>
      </x:rPr>
      <x:t xml:space="preserve"> Clawback Questions</x:t>
    </x:r>
  </x:si>
  <x:si>
    <x:t>Is the fund in  a clawback situation (yes/no)</x:t>
  </x:si>
  <x:si>
    <x:t>No</x:t>
  </x:si>
  <x:si>
    <x:t xml:space="preserve">   If yes: What is the amount</x:t>
  </x:si>
  <x:si>
    <x:t>N/A</x:t>
  </x:si>
  <x:si>
    <x:t xml:space="preserve">   If yes: What is the proposed remedy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</x:si>
</x:sst>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0.00"/>
    <x:numFmt numFmtId="166" formatCode="mm-dd-yyyy"/>
    <x:numFmt numFmtId="167" formatCode="_($* #,##0.00_);_($* (#,##0.00);_($* &quot; - &quot;_);_(@_)"/>
    <x:numFmt numFmtId="168" formatCode="0.00%"/>
  </x:numFmts>
  <x:fonts count="9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4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vertAlign val="baseline"/>
      <x:sz val="10"/>
      <x:color rgb="FF00B0F0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u val="single"/>
      <x:vertAlign val="baseline"/>
      <x:sz val="10"/>
      <x:color rgb="FF000000"/>
      <x:name val="Arial"/>
      <x:family val="2"/>
    </x:font>
    <x:font>
      <x:b/>
      <x:vertAlign val="baseline"/>
      <x:sz val="11.5"/>
      <x:color rgb="FF000000"/>
      <x:name val="Arial"/>
      <x:family val="2"/>
    </x:font>
    <x:font>
      <x:i/>
      <x:vertAlign val="baseline"/>
      <x:sz val="8"/>
      <x:color rgb="FF0000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12169"/>
      </x:patternFill>
    </x:fill>
    <x:fill>
      <x:patternFill patternType="solid">
        <x:fgColor rgb="FFF2F2F2"/>
      </x:patternFill>
    </x:fill>
    <x:fill>
      <x:patternFill patternType="solid">
        <x:fgColor rgb="FF97999B"/>
      </x:patternFill>
    </x:fill>
    <x:fill>
      <x:patternFill patternType="solid">
        <x:fgColor rgb="FFDCE6F1"/>
      </x:patternFill>
    </x:fill>
    <x:fill>
      <x:patternFill patternType="solid">
        <x:fgColor rgb="FFD9D9D9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4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165" fontId="5" fillId="4" borderId="3" applyNumberFormat="1" applyFill="0" applyBorder="1" applyAlignment="1" applyProtection="1">
      <x:protection locked="1" hidden="0"/>
    </x:xf>
    <x:xf numFmtId="165" fontId="1" fillId="3" borderId="0" applyNumberFormat="1" applyFill="0" applyBorder="0" applyAlignment="1" applyProtection="1">
      <x:protection locked="1" hidden="0"/>
    </x:xf>
    <x:xf numFmtId="166" fontId="4" fillId="5" borderId="4" applyNumberFormat="1" applyFill="0" applyBorder="1" applyAlignment="1" applyProtection="1">
      <x:protection locked="1" hidden="0"/>
    </x:xf>
    <x:xf numFmtId="167" fontId="4" fillId="5" borderId="4" applyNumberFormat="1" applyFill="0" applyBorder="1" applyAlignment="1" applyProtection="1">
      <x:protection locked="1" hidden="0"/>
    </x:xf>
    <x:xf numFmtId="165" fontId="6" fillId="3" borderId="5" applyNumberFormat="1" applyFill="0" applyBorder="1" applyAlignment="1" applyProtection="1">
      <x:protection locked="1" hidden="0"/>
    </x:xf>
    <x:xf numFmtId="165" fontId="6" fillId="3" borderId="6" applyNumberFormat="1" applyFill="0" applyBorder="1" applyAlignment="1" applyProtection="1">
      <x:protection locked="1" hidden="0"/>
    </x:xf>
    <x:xf numFmtId="165" fontId="6" fillId="3" borderId="4" applyNumberFormat="1" applyFill="0" applyBorder="1" applyAlignment="1" applyProtection="1">
      <x:protection locked="1" hidden="0"/>
    </x:xf>
    <x:xf numFmtId="167" fontId="4" fillId="5" borderId="6" applyNumberFormat="1" applyFill="0" applyBorder="1" applyAlignment="1" applyProtection="1">
      <x:protection locked="1" hidden="0"/>
    </x:xf>
    <x:xf numFmtId="167" fontId="1" fillId="6" borderId="6" applyNumberFormat="1" applyFill="0" applyBorder="1" applyAlignment="1" applyProtection="1">
      <x:protection locked="1" hidden="0"/>
    </x:xf>
    <x:xf numFmtId="167" fontId="1" fillId="6" borderId="4" applyNumberFormat="1" applyFill="0" applyBorder="1" applyAlignment="1" applyProtection="1">
      <x:protection locked="1" hidden="0"/>
    </x:xf>
    <x:xf numFmtId="168" fontId="1" fillId="6" borderId="4" applyNumberFormat="1" applyFill="0" applyBorder="1" applyAlignment="1" applyProtection="1">
      <x:protection locked="1" hidden="0"/>
    </x:xf>
    <x:xf numFmtId="168" fontId="4" fillId="5" borderId="4" applyNumberFormat="1" applyFill="0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165" fontId="5" fillId="3" borderId="0" applyNumberFormat="1" applyFill="0" applyBorder="0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7" fontId="1" fillId="6" borderId="2" applyNumberFormat="1" applyFill="0" applyBorder="1" applyAlignment="1" applyProtection="1">
      <x:protection locked="1" hidden="0"/>
    </x:xf>
    <x:xf numFmtId="165" fontId="6" fillId="0" borderId="7" applyNumberFormat="1" applyFill="1" applyBorder="1" applyAlignment="1" applyProtection="1">
      <x:protection locked="1" hidden="0"/>
    </x:xf>
    <x:xf numFmtId="165" fontId="6" fillId="0" borderId="2" applyNumberFormat="1" applyFill="1" applyBorder="1" applyAlignment="1" applyProtection="1">
      <x:protection locked="1" hidden="0"/>
    </x:xf>
    <x:xf numFmtId="168" fontId="1" fillId="6" borderId="6" applyNumberFormat="1" applyFill="0" applyBorder="1" applyAlignment="1" applyProtection="1">
      <x:protection locked="1" hidden="0"/>
    </x:xf>
    <x:xf numFmtId="165" fontId="7" fillId="3" borderId="8" applyNumberFormat="1" applyFill="0" applyBorder="1" applyAlignment="1" applyProtection="1">
      <x:protection locked="1" hidden="0"/>
    </x:xf>
    <x:xf numFmtId="167" fontId="7" fillId="6" borderId="9" applyNumberFormat="1" applyFill="0" applyBorder="1" applyAlignment="1" applyProtection="1">
      <x:protection locked="1" hidden="0"/>
    </x:xf>
    <x:xf numFmtId="165" fontId="8" fillId="0" borderId="0" applyNumberFormat="1" applyFill="1" applyBorder="0" applyAlignment="1" applyProtection="1">
      <x:protection locked="1" hidden="0"/>
    </x:xf>
    <x:xf numFmtId="165" fontId="3" fillId="4" borderId="3" applyNumberFormat="1" applyFill="0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165" fontId="5" fillId="6" borderId="10" applyNumberFormat="1" applyFill="0" applyBorder="1" applyAlignment="1" applyProtection="1">
      <x:protection locked="1" hidden="0"/>
    </x:xf>
    <x:xf numFmtId="165" fontId="5" fillId="6" borderId="4" applyNumberFormat="1" applyFill="0" applyBorder="1" applyAlignment="1" applyProtection="1">
      <x:protection locked="1" hidden="0"/>
    </x:xf>
    <x:xf numFmtId="165" fontId="4" fillId="5" borderId="1" applyNumberFormat="1" applyFill="0" applyBorder="1" applyAlignment="1" applyProtection="1">
      <x:protection locked="1" hidden="0"/>
    </x:xf>
    <x:xf numFmtId="167" fontId="4" fillId="5" borderId="1" applyNumberFormat="1" applyFill="0" applyBorder="1" applyAlignment="1" applyProtection="1">
      <x:protection locked="1" hidden="0"/>
    </x:xf>
    <x:xf numFmtId="167" fontId="1" fillId="6" borderId="1" applyNumberFormat="1" applyFill="0" applyBorder="1" applyAlignment="1" applyProtection="1">
      <x:protection locked="1" hidden="0"/>
    </x:xf>
    <x:xf numFmtId="167" fontId="1" fillId="6" borderId="11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7" fontId="4" fillId="5" borderId="12" applyNumberFormat="1" applyFill="0" applyBorder="1" applyAlignment="1" applyProtection="1">
      <x:protection locked="1" hidden="0"/>
    </x:xf>
    <x:xf numFmtId="167" fontId="4" fillId="5" borderId="13" applyNumberFormat="1" applyFill="0" applyBorder="1" applyAlignment="1" applyProtection="1">
      <x:protection locked="1" hidden="0"/>
    </x:xf>
    <x:xf numFmtId="0" fontId="4" fillId="5" borderId="4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</x:cellStyleXfs>
  <x:cellXfs count="5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3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8" fontId="1" fillId="6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" fillId="6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7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7" fillId="6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8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5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6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5" fillId="6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4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6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4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5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5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86"/>
  <x:sheetViews>
    <x:sheetView showGridLines="0" workbookViewId="0">
      <x:pane xSplit="3" ySplit="2" topLeftCell="D3" activePane="bottomRight" state="frozenSplit"/>
    </x:sheetView>
  </x:sheetViews>
  <x:sheetFormatPr defaultRowHeight="15"/>
  <x:cols>
    <x:col min="10" max="16384" width="9.140625" style="1" customWidth="1"/>
    <x:col min="1" max="1" width="57.710625" style="1" customWidth="1"/>
    <x:col min="2" max="3" width="26.440625" style="1" customWidth="1"/>
    <x:col min="4" max="4" width="22.380625" style="1" customWidth="1"/>
    <x:col min="5" max="5" width="25.380625" style="1" customWidth="1"/>
    <x:col min="6" max="6" width="18.490625" style="1" customWidth="1"/>
    <x:col min="7" max="7" width="19.490625" style="1" customWidth="1"/>
    <x:col min="8" max="8" width="17.490625" style="1" customWidth="1"/>
    <x:col min="9" max="9" width="20.490625" style="1" customWidth="1"/>
  </x:cols>
  <x:sheetData>
    <x:row r="1" spans="1:9">
      <x:c r="A1" s="3" t="s">
        <x:v>0</x:v>
      </x:c>
      <x:c r="B1" s="4" t="s"/>
      <x:c r="C1" s="4" t="s"/>
    </x:row>
    <x:row r="2" spans="1:9">
      <x:c r="A2" s="5" t="s">
        <x:v>1</x:v>
      </x:c>
      <x:c r="B2" s="6" t="s">
        <x:v>2</x:v>
      </x:c>
      <x:c r="C2" s="7" t="s"/>
    </x:row>
    <x:row r="3" spans="1:9" s="2" customFormat="1" ht="16" customHeight="1">
      <x:c r="A3" s="8" t="s">
        <x:v>3</x:v>
      </x:c>
      <x:c r="B3" s="8" t="s"/>
      <x:c r="C3" s="8" t="s"/>
      <x:c r="D3" s="2" t="s"/>
      <x:c r="E3" s="2" t="s"/>
      <x:c r="F3" s="2" t="s"/>
      <x:c r="G3" s="2" t="s"/>
      <x:c r="H3" s="2" t="s"/>
      <x:c r="I3" s="2" t="s"/>
    </x:row>
    <x:row r="4" spans="1:9" s="2" customFormat="1" ht="16" customHeight="1">
      <x:c r="A4" s="9" t="s">
        <x:v>4</x:v>
      </x:c>
      <x:c r="B4" s="10">
        <x:v>45796</x:v>
      </x:c>
      <x:c r="C4" s="10" t="s"/>
      <x:c r="D4" s="2" t="s"/>
      <x:c r="E4" s="2" t="s"/>
      <x:c r="F4" s="2" t="s"/>
      <x:c r="G4" s="2" t="s"/>
      <x:c r="H4" s="2" t="s"/>
      <x:c r="I4" s="2" t="s"/>
    </x:row>
    <x:row r="5" spans="1:9" s="2" customFormat="1" ht="16" customHeight="1">
      <x:c r="A5" s="9" t="s">
        <x:v>5</x:v>
      </x:c>
      <x:c r="B5" s="10">
        <x:v>45798</x:v>
      </x:c>
      <x:c r="C5" s="10" t="s"/>
      <x:c r="D5" s="2" t="s"/>
      <x:c r="E5" s="2" t="s"/>
      <x:c r="F5" s="2" t="s"/>
      <x:c r="G5" s="2" t="s"/>
      <x:c r="H5" s="2" t="s"/>
      <x:c r="I5" s="2" t="s"/>
    </x:row>
    <x:row r="6" spans="1:9" s="2" customFormat="1" ht="16" customHeight="1">
      <x:c r="A6" s="9" t="s">
        <x:v>6</x:v>
      </x:c>
      <x:c r="B6" s="11" t="s">
        <x:v>7</x:v>
      </x:c>
      <x:c r="C6" s="11" t="s"/>
      <x:c r="D6" s="2" t="s"/>
      <x:c r="E6" s="2" t="s"/>
      <x:c r="F6" s="2" t="s"/>
      <x:c r="G6" s="2" t="s"/>
      <x:c r="H6" s="2" t="s"/>
      <x:c r="I6" s="2" t="s"/>
    </x:row>
    <x:row r="7" spans="1:9" s="2" customFormat="1" ht="16" customHeight="1">
      <x:c r="A7" s="9" t="s">
        <x:v>8</x:v>
      </x:c>
      <x:c r="B7" s="12" t="n">
        <x:v>300000000</x:v>
      </x:c>
      <x:c r="C7" s="12" t="s"/>
      <x:c r="D7" s="2" t="s"/>
      <x:c r="E7" s="2" t="s"/>
      <x:c r="F7" s="2" t="s"/>
      <x:c r="G7" s="2" t="s"/>
      <x:c r="H7" s="2" t="s"/>
      <x:c r="I7" s="2" t="s"/>
    </x:row>
    <x:row r="8" spans="1:9" s="2" customFormat="1" ht="16" customHeight="1">
      <x:c r="A8" s="9" t="s">
        <x:v>9</x:v>
      </x:c>
      <x:c r="B8" s="12" t="n">
        <x:v>20300000000</x:v>
      </x:c>
      <x:c r="C8" s="12" t="s"/>
      <x:c r="D8" s="2" t="s"/>
      <x:c r="E8" s="2" t="s"/>
      <x:c r="F8" s="2" t="s"/>
      <x:c r="G8" s="2" t="s"/>
      <x:c r="H8" s="2" t="s"/>
      <x:c r="I8" s="2" t="s"/>
    </x:row>
    <x:row r="9" spans="1:9" s="2" customFormat="1" ht="25.25" customHeight="1">
      <x:c r="A9" s="13" t="s">
        <x:v>10</x:v>
      </x:c>
      <x:c r="B9" s="14" t="s">
        <x:v>11</x:v>
      </x:c>
      <x:c r="C9" s="15" t="s">
        <x:v>12</x:v>
      </x:c>
      <x:c r="D9" s="2" t="s"/>
      <x:c r="E9" s="2" t="s"/>
      <x:c r="F9" s="2" t="s"/>
      <x:c r="G9" s="2" t="s"/>
      <x:c r="H9" s="2" t="s"/>
      <x:c r="I9" s="2" t="s"/>
    </x:row>
    <x:row r="10" spans="1:9" s="2" customFormat="1" ht="16" customHeight="1">
      <x:c r="A10" s="9" t="s">
        <x:v>13</x:v>
      </x:c>
      <x:c r="B10" s="16" t="n">
        <x:v>22441804790.17</x:v>
      </x:c>
      <x:c r="C10" s="12" t="n">
        <x:v>-8774704121.43</x:v>
      </x:c>
      <x:c r="D10" s="2" t="s"/>
      <x:c r="E10" s="2" t="s"/>
      <x:c r="F10" s="2" t="s"/>
      <x:c r="G10" s="2" t="s"/>
      <x:c r="H10" s="2" t="s"/>
      <x:c r="I10" s="2" t="s"/>
    </x:row>
    <x:row r="11" spans="1:9" s="2" customFormat="1" ht="16" customHeight="1">
      <x:c r="A11" s="9" t="s">
        <x:v>14</x:v>
      </x:c>
      <x:c r="B11" s="16" t="n">
        <x:v>0</x:v>
      </x:c>
      <x:c r="C11" s="12" t="n">
        <x:v>-94986063.07</x:v>
      </x:c>
      <x:c r="D11" s="2" t="s"/>
      <x:c r="E11" s="2" t="s"/>
      <x:c r="F11" s="2" t="s"/>
      <x:c r="G11" s="2" t="s"/>
      <x:c r="H11" s="2" t="s"/>
      <x:c r="I11" s="2" t="s"/>
    </x:row>
    <x:row r="12" spans="1:9" s="2" customFormat="1" ht="16" customHeight="1">
      <x:c r="A12" s="9" t="s">
        <x:v>15</x:v>
      </x:c>
      <x:c r="B12" s="17" t="n">
        <x:v>22441804790.17</x:v>
      </x:c>
      <x:c r="C12" s="18" t="n">
        <x:v>-8869690184.5</x:v>
      </x:c>
      <x:c r="D12" s="2" t="s"/>
      <x:c r="E12" s="2" t="s"/>
      <x:c r="F12" s="2" t="s"/>
      <x:c r="G12" s="2" t="s"/>
      <x:c r="H12" s="2" t="s"/>
      <x:c r="I12" s="2" t="s"/>
    </x:row>
    <x:row r="13" spans="1:9" s="2" customFormat="1" ht="16" customHeight="1">
      <x:c r="A13" s="8" t="s">
        <x:v>16</x:v>
      </x:c>
      <x:c r="B13" s="8" t="s"/>
      <x:c r="C13" s="8" t="s"/>
      <x:c r="D13" s="2" t="s"/>
      <x:c r="E13" s="2" t="s"/>
      <x:c r="F13" s="2" t="s"/>
      <x:c r="G13" s="2" t="s"/>
      <x:c r="H13" s="2" t="s"/>
      <x:c r="I13" s="2" t="s"/>
    </x:row>
    <x:row r="14" spans="1:9" s="2" customFormat="1" ht="16" customHeight="1">
      <x:c r="A14" s="9" t="s">
        <x:v>17</x:v>
      </x:c>
      <x:c r="B14" s="19" t="s">
        <x:v>18</x:v>
      </x:c>
      <x:c r="C14" s="19" t="s"/>
      <x:c r="D14" s="2" t="s"/>
      <x:c r="E14" s="2" t="s"/>
      <x:c r="F14" s="2" t="s"/>
      <x:c r="G14" s="2" t="s"/>
      <x:c r="H14" s="2" t="s"/>
      <x:c r="I14" s="2" t="s"/>
    </x:row>
    <x:row r="15" spans="1:9" s="2" customFormat="1" ht="16" customHeight="1">
      <x:c r="A15" s="9" t="s">
        <x:v>19</x:v>
      </x:c>
      <x:c r="B15" s="12" t="n">
        <x:v>9500000</x:v>
      </x:c>
      <x:c r="C15" s="12" t="s"/>
      <x:c r="D15" s="2" t="s"/>
      <x:c r="E15" s="2" t="s"/>
      <x:c r="F15" s="2" t="s"/>
      <x:c r="G15" s="2" t="s"/>
      <x:c r="H15" s="2" t="s"/>
      <x:c r="I15" s="2" t="s"/>
    </x:row>
    <x:row r="16" spans="1:9" s="2" customFormat="1" ht="16" customHeight="1">
      <x:c r="A16" s="9" t="s">
        <x:v>20</x:v>
      </x:c>
      <x:c r="B16" s="20" t="n">
        <x:v>0.000467980295566502</x:v>
      </x:c>
      <x:c r="C16" s="20" t="s"/>
      <x:c r="D16" s="2" t="s"/>
      <x:c r="E16" s="2" t="s"/>
      <x:c r="F16" s="2" t="s"/>
      <x:c r="G16" s="2" t="s"/>
      <x:c r="H16" s="2" t="s"/>
      <x:c r="I16" s="2" t="s"/>
    </x:row>
    <x:row r="17" spans="1:9" s="2" customFormat="1" ht="16" customHeight="1">
      <x:c r="A17" s="9" t="s">
        <x:v>21</x:v>
      </x:c>
      <x:c r="B17" s="21" t="n">
        <x:v>0.000466926500231041</x:v>
      </x:c>
      <x:c r="C17" s="21" t="s"/>
      <x:c r="D17" s="2" t="s"/>
      <x:c r="E17" s="2" t="s"/>
      <x:c r="F17" s="2" t="s"/>
      <x:c r="G17" s="2" t="s"/>
      <x:c r="H17" s="2" t="s"/>
      <x:c r="I17" s="2" t="s"/>
    </x:row>
    <x:row r="18" spans="1:9" s="2" customFormat="1" ht="16" customHeight="1">
      <x:c r="A18" s="9" t="s">
        <x:v>22</x:v>
      </x:c>
      <x:c r="B18" s="12" t="n">
        <x:v>1446155.86</x:v>
      </x:c>
      <x:c r="C18" s="12" t="s"/>
      <x:c r="D18" s="2" t="s"/>
      <x:c r="E18" s="2" t="s"/>
      <x:c r="F18" s="2" t="s"/>
      <x:c r="G18" s="2" t="s"/>
      <x:c r="H18" s="2" t="s"/>
      <x:c r="I18" s="2" t="s"/>
    </x:row>
    <x:row r="19" spans="1:9" s="2" customFormat="1" ht="16" customHeight="1">
      <x:c r="A19" s="9" t="s">
        <x:v>23</x:v>
      </x:c>
      <x:c r="B19" s="12" t="n">
        <x:v>10602346.74</x:v>
      </x:c>
      <x:c r="C19" s="12" t="s"/>
      <x:c r="D19" s="2" t="s"/>
      <x:c r="E19" s="2" t="s"/>
      <x:c r="F19" s="2" t="s"/>
      <x:c r="G19" s="2" t="s"/>
      <x:c r="H19" s="2" t="s"/>
      <x:c r="I19" s="2" t="s"/>
    </x:row>
    <x:row r="20" spans="1:9" s="2" customFormat="1" ht="16" customHeight="1">
      <x:c r="A20" s="9" t="s">
        <x:v>24</x:v>
      </x:c>
      <x:c r="B20" s="12" t="n">
        <x:v>3728065.03</x:v>
      </x:c>
      <x:c r="C20" s="12" t="s"/>
      <x:c r="D20" s="2" t="s"/>
      <x:c r="E20" s="2" t="s"/>
      <x:c r="F20" s="2" t="s"/>
      <x:c r="G20" s="2" t="s"/>
      <x:c r="H20" s="2" t="s"/>
      <x:c r="I20" s="2" t="s"/>
    </x:row>
    <x:row r="21" spans="1:9" s="2" customFormat="1" ht="16" customHeight="1">
      <x:c r="A21" s="22" t="s">
        <x:v>25</x:v>
      </x:c>
      <x:c r="B21" s="2" t="s"/>
      <x:c r="C21" s="23" t="s"/>
      <x:c r="D21" s="2" t="s"/>
      <x:c r="E21" s="2" t="s"/>
      <x:c r="F21" s="2" t="s"/>
      <x:c r="G21" s="2" t="s"/>
      <x:c r="H21" s="2" t="s"/>
      <x:c r="I21" s="2" t="s"/>
    </x:row>
    <x:row r="22" spans="1:9" s="2" customFormat="1" ht="16" customHeight="1">
      <x:c r="A22" s="24" t="s">
        <x:v>26</x:v>
      </x:c>
      <x:c r="B22" s="25" t="s"/>
      <x:c r="C22" s="25" t="s"/>
      <x:c r="D22" s="2" t="s"/>
      <x:c r="E22" s="2" t="s"/>
      <x:c r="F22" s="2" t="s"/>
      <x:c r="G22" s="2" t="s"/>
      <x:c r="H22" s="2" t="s"/>
      <x:c r="I22" s="2" t="s"/>
    </x:row>
    <x:row r="23" spans="1:9" s="2" customFormat="1" ht="16" customHeight="1">
      <x:c r="A23" s="9" t="s">
        <x:v>27</x:v>
      </x:c>
      <x:c r="B23" s="26" t="n">
        <x:v>1446155.86</x:v>
      </x:c>
      <x:c r="C23" s="26" t="s"/>
      <x:c r="D23" s="2" t="s"/>
      <x:c r="E23" s="2" t="s"/>
      <x:c r="F23" s="2" t="s"/>
      <x:c r="G23" s="2" t="s"/>
      <x:c r="H23" s="2" t="s"/>
      <x:c r="I23" s="2" t="s"/>
    </x:row>
    <x:row r="24" spans="1:9" s="2" customFormat="1" ht="16" customHeight="1">
      <x:c r="A24" s="9" t="s">
        <x:v>28</x:v>
      </x:c>
      <x:c r="B24" s="26" t="n">
        <x:v>0</x:v>
      </x:c>
      <x:c r="C24" s="26" t="s"/>
      <x:c r="D24" s="2" t="s"/>
      <x:c r="E24" s="2" t="s"/>
      <x:c r="F24" s="2" t="s"/>
      <x:c r="G24" s="2" t="s"/>
      <x:c r="H24" s="2" t="s"/>
      <x:c r="I24" s="2" t="s"/>
    </x:row>
    <x:row r="25" spans="1:9" s="2" customFormat="1" ht="16" customHeight="1">
      <x:c r="A25" s="9" t="s">
        <x:v>29</x:v>
      </x:c>
      <x:c r="B25" s="18">
        <x:f>SUM(B23:B24)</x:f>
      </x:c>
      <x:c r="C25" s="18" t="s"/>
      <x:c r="D25" s="2" t="s"/>
      <x:c r="E25" s="2" t="s"/>
      <x:c r="F25" s="2" t="s"/>
      <x:c r="G25" s="2" t="s"/>
      <x:c r="H25" s="2" t="s"/>
      <x:c r="I25" s="2" t="s"/>
    </x:row>
    <x:row r="26" spans="1:9" s="2" customFormat="1" ht="16" customHeight="1">
      <x:c r="A26" s="27" t="s">
        <x:v>30</x:v>
      </x:c>
      <x:c r="B26" s="22" t="s">
        <x:v>31</x:v>
      </x:c>
      <x:c r="C26" s="28" t="s">
        <x:v>32</x:v>
      </x:c>
      <x:c r="D26" s="2" t="s"/>
      <x:c r="E26" s="2" t="s"/>
      <x:c r="F26" s="2" t="s"/>
      <x:c r="G26" s="2" t="s"/>
      <x:c r="H26" s="2" t="s"/>
      <x:c r="I26" s="2" t="s"/>
    </x:row>
    <x:row r="27" spans="1:9" s="2" customFormat="1" ht="16" customHeight="1">
      <x:c r="A27" s="9" t="s">
        <x:v>33</x:v>
      </x:c>
      <x:c r="B27" s="17" t="n">
        <x:v>10602346.74</x:v>
      </x:c>
      <x:c r="C27" s="18" t="n">
        <x:v>-3728065.03</x:v>
      </x:c>
      <x:c r="D27" s="2" t="s"/>
      <x:c r="E27" s="2" t="s"/>
      <x:c r="F27" s="2" t="s"/>
      <x:c r="G27" s="2" t="s"/>
      <x:c r="H27" s="2" t="s"/>
      <x:c r="I27" s="2" t="s"/>
    </x:row>
    <x:row r="28" spans="1:9" s="2" customFormat="1" ht="16" customHeight="1">
      <x:c r="A28" s="9" t="s">
        <x:v>34</x:v>
      </x:c>
      <x:c r="B28" s="29" t="n">
        <x:v>0.000472437348026664</x:v>
      </x:c>
      <x:c r="C28" s="20" t="n">
        <x:v>0.000424865041420045</x:v>
      </x:c>
      <x:c r="D28" s="2" t="s"/>
      <x:c r="E28" s="2" t="s"/>
      <x:c r="F28" s="2" t="s"/>
      <x:c r="G28" s="2" t="s"/>
      <x:c r="H28" s="2" t="s"/>
      <x:c r="I28" s="2" t="s"/>
    </x:row>
    <x:row r="29" spans="1:9" s="2" customFormat="1" ht="16" customHeight="1">
      <x:c r="A29" s="9" t="s">
        <x:v>35</x:v>
      </x:c>
      <x:c r="B29" s="17" t="n">
        <x:v>0</x:v>
      </x:c>
      <x:c r="C29" s="18" t="n">
        <x:v>-44351.51</x:v>
      </x:c>
      <x:c r="D29" s="2" t="s"/>
      <x:c r="E29" s="2" t="s"/>
      <x:c r="F29" s="2" t="s"/>
      <x:c r="G29" s="2" t="s"/>
      <x:c r="H29" s="2" t="s"/>
      <x:c r="I29" s="2" t="s"/>
    </x:row>
    <x:row r="30" spans="1:9" s="2" customFormat="1" ht="16" customHeight="1">
      <x:c r="A30" s="9" t="s">
        <x:v>36</x:v>
      </x:c>
      <x:c r="B30" s="29" t="n">
        <x:v>0</x:v>
      </x:c>
      <x:c r="C30" s="20" t="n">
        <x:v>0.000466926500231041</x:v>
      </x:c>
      <x:c r="D30" s="2" t="s"/>
      <x:c r="E30" s="2" t="s"/>
      <x:c r="F30" s="2" t="s"/>
      <x:c r="G30" s="2" t="s"/>
      <x:c r="H30" s="2" t="s"/>
      <x:c r="I30" s="2" t="s"/>
    </x:row>
    <x:row r="31" spans="1:9" s="2" customFormat="1" ht="16" customHeight="1">
      <x:c r="A31" s="9" t="s">
        <x:v>37</x:v>
      </x:c>
      <x:c r="B31" s="17" t="n">
        <x:v>10602346.74</x:v>
      </x:c>
      <x:c r="C31" s="18" t="n">
        <x:v>-3772416.54</x:v>
      </x:c>
      <x:c r="D31" s="2" t="s"/>
      <x:c r="E31" s="2" t="s"/>
      <x:c r="F31" s="2" t="s"/>
      <x:c r="G31" s="2" t="s"/>
      <x:c r="H31" s="2" t="s"/>
      <x:c r="I31" s="2" t="s"/>
    </x:row>
    <x:row r="32" spans="1:9" s="2" customFormat="1" ht="16" customHeight="1">
      <x:c r="A32" s="9" t="s">
        <x:v>34</x:v>
      </x:c>
      <x:c r="B32" s="29" t="n">
        <x:v>0.000472437348026664</x:v>
      </x:c>
      <x:c r="C32" s="20" t="n">
        <x:v>0.000425315480194831</x:v>
      </x:c>
      <x:c r="D32" s="2" t="s"/>
      <x:c r="E32" s="2" t="s"/>
      <x:c r="F32" s="2" t="s"/>
      <x:c r="G32" s="2" t="s"/>
      <x:c r="H32" s="2" t="s"/>
      <x:c r="I32" s="2" t="s"/>
    </x:row>
    <x:row r="33" spans="1:9" s="2" customFormat="1" ht="30" customHeight="1">
      <x:c r="A33" s="30" t="s">
        <x:v>38</x:v>
      </x:c>
      <x:c r="B33" s="31" t="n">
        <x:v>-44351.51</x:v>
      </x:c>
      <x:c r="C33" s="31" t="s"/>
      <x:c r="D33" s="2" t="s"/>
      <x:c r="E33" s="2" t="s"/>
      <x:c r="F33" s="2" t="s"/>
      <x:c r="G33" s="2" t="s"/>
      <x:c r="H33" s="2" t="s"/>
      <x:c r="I33" s="2" t="s"/>
    </x:row>
    <x:row r="34" spans="1:9" s="2" customFormat="1" ht="20" customHeight="1">
      <x:c r="A34" s="32" t="s">
        <x:v>39</x:v>
      </x:c>
      <x:c r="B34" s="32" t="s"/>
      <x:c r="C34" s="32" t="s"/>
      <x:c r="D34" s="2" t="s"/>
      <x:c r="E34" s="2" t="s"/>
      <x:c r="F34" s="2" t="s"/>
      <x:c r="G34" s="2" t="s"/>
      <x:c r="H34" s="2" t="s"/>
      <x:c r="I34" s="2" t="s"/>
    </x:row>
    <x:row r="35" spans="1:9" s="2" customFormat="1" ht="20" customHeight="1">
      <x:c r="A35" s="32" t="s">
        <x:v>40</x:v>
      </x:c>
      <x:c r="B35" s="32" t="s"/>
      <x:c r="C35" s="32" t="s"/>
      <x:c r="D35" s="32" t="s"/>
      <x:c r="E35" s="32" t="s"/>
      <x:c r="F35" s="32" t="s"/>
      <x:c r="G35" s="32" t="s"/>
      <x:c r="H35" s="2" t="s"/>
      <x:c r="I35" s="2" t="s"/>
    </x:row>
    <x:row r="36" spans="1:9" s="2" customFormat="1" ht="18" customHeight="1">
      <x:c r="A36" s="33" t="s">
        <x:v>41</x:v>
      </x:c>
      <x:c r="B36" s="33" t="s"/>
      <x:c r="C36" s="33" t="s"/>
      <x:c r="D36" s="33" t="s"/>
      <x:c r="E36" s="33" t="s"/>
      <x:c r="F36" s="33" t="s"/>
      <x:c r="G36" s="33" t="s"/>
      <x:c r="H36" s="2" t="s"/>
      <x:c r="I36" s="2" t="s"/>
    </x:row>
    <x:row r="37" spans="1:9" s="2" customFormat="1">
      <x:c r="A37" s="34" t="s">
        <x:v>42</x:v>
      </x:c>
      <x:c r="B37" s="34" t="s">
        <x:v>43</x:v>
      </x:c>
      <x:c r="C37" s="34" t="s"/>
      <x:c r="D37" s="34" t="s">
        <x:v>44</x:v>
      </x:c>
      <x:c r="E37" s="34" t="s">
        <x:v>45</x:v>
      </x:c>
      <x:c r="F37" s="35" t="s">
        <x:v>46</x:v>
      </x:c>
      <x:c r="G37" s="36" t="s"/>
      <x:c r="H37" s="2" t="s"/>
      <x:c r="I37" s="2" t="s"/>
    </x:row>
    <x:row r="38" spans="1:9" s="2" customFormat="1" ht="60" customHeight="1">
      <x:c r="A38" s="34" t="s"/>
      <x:c r="B38" s="34" t="s"/>
      <x:c r="C38" s="34" t="s"/>
      <x:c r="D38" s="34" t="s"/>
      <x:c r="E38" s="34" t="s"/>
      <x:c r="F38" s="37" t="s">
        <x:v>47</x:v>
      </x:c>
      <x:c r="G38" s="38" t="s">
        <x:v>48</x:v>
      </x:c>
      <x:c r="H38" s="2" t="s"/>
      <x:c r="I38" s="2" t="s"/>
    </x:row>
    <x:row r="39" spans="1:9" s="2" customFormat="1" ht="16" customHeight="1">
      <x:c r="A39" s="39" t="s">
        <x:v>49</x:v>
      </x:c>
      <x:c r="B39" s="39" t="s">
        <x:v>50</x:v>
      </x:c>
      <x:c r="C39" s="39" t="s"/>
      <x:c r="D39" s="40" t="n">
        <x:v>5880.52</x:v>
      </x:c>
      <x:c r="E39" s="41" t="s">
        <x:v>51</x:v>
      </x:c>
      <x:c r="F39" s="42" t="n">
        <x:v>0</x:v>
      </x:c>
      <x:c r="G39" s="43" t="n">
        <x:v>-5880.52</x:v>
      </x:c>
      <x:c r="H39" s="2" t="s"/>
      <x:c r="I39" s="2" t="s"/>
    </x:row>
    <x:row r="40" spans="1:9" s="2" customFormat="1" ht="16" customHeight="1">
      <x:c r="A40" s="39" t="s">
        <x:v>52</x:v>
      </x:c>
      <x:c r="B40" s="39" t="s">
        <x:v>53</x:v>
      </x:c>
      <x:c r="C40" s="39" t="s"/>
      <x:c r="D40" s="40" t="n">
        <x:v>5625.32</x:v>
      </x:c>
      <x:c r="E40" s="41" t="s">
        <x:v>51</x:v>
      </x:c>
      <x:c r="F40" s="42" t="n">
        <x:v>0</x:v>
      </x:c>
      <x:c r="G40" s="43" t="n">
        <x:v>-5625.32</x:v>
      </x:c>
      <x:c r="H40" s="2" t="s"/>
      <x:c r="I40" s="2" t="s"/>
    </x:row>
    <x:row r="41" spans="1:9" s="2" customFormat="1" ht="16" customHeight="1">
      <x:c r="A41" s="39" t="s">
        <x:v>54</x:v>
      </x:c>
      <x:c r="B41" s="39" t="s">
        <x:v>50</x:v>
      </x:c>
      <x:c r="C41" s="39" t="s"/>
      <x:c r="D41" s="40" t="n">
        <x:v>5526.01</x:v>
      </x:c>
      <x:c r="E41" s="41" t="s">
        <x:v>51</x:v>
      </x:c>
      <x:c r="F41" s="42" t="n">
        <x:v>0</x:v>
      </x:c>
      <x:c r="G41" s="43" t="n">
        <x:v>-5526.01</x:v>
      </x:c>
      <x:c r="H41" s="2" t="s"/>
      <x:c r="I41" s="2" t="s"/>
    </x:row>
    <x:row r="42" spans="1:9" s="2" customFormat="1" ht="16" customHeight="1">
      <x:c r="A42" s="39" t="s">
        <x:v>55</x:v>
      </x:c>
      <x:c r="B42" s="39" t="s">
        <x:v>53</x:v>
      </x:c>
      <x:c r="C42" s="39" t="s"/>
      <x:c r="D42" s="40" t="n">
        <x:v>5118.09</x:v>
      </x:c>
      <x:c r="E42" s="41" t="s">
        <x:v>51</x:v>
      </x:c>
      <x:c r="F42" s="42" t="n">
        <x:v>0</x:v>
      </x:c>
      <x:c r="G42" s="43" t="n">
        <x:v>-5118.09</x:v>
      </x:c>
      <x:c r="H42" s="2" t="s"/>
      <x:c r="I42" s="2" t="s"/>
    </x:row>
    <x:row r="43" spans="1:9" s="2" customFormat="1" ht="16" customHeight="1">
      <x:c r="A43" s="39" t="s">
        <x:v>56</x:v>
      </x:c>
      <x:c r="B43" s="39" t="s">
        <x:v>50</x:v>
      </x:c>
      <x:c r="C43" s="39" t="s"/>
      <x:c r="D43" s="40" t="n">
        <x:v>6196.08</x:v>
      </x:c>
      <x:c r="E43" s="41" t="s">
        <x:v>51</x:v>
      </x:c>
      <x:c r="F43" s="42" t="n">
        <x:v>0</x:v>
      </x:c>
      <x:c r="G43" s="43" t="n">
        <x:v>-6196.08</x:v>
      </x:c>
      <x:c r="H43" s="2" t="s"/>
      <x:c r="I43" s="2" t="s"/>
    </x:row>
    <x:row r="44" spans="1:9" s="2" customFormat="1" ht="16" customHeight="1">
      <x:c r="A44" s="39" t="s">
        <x:v>57</x:v>
      </x:c>
      <x:c r="B44" s="39" t="s">
        <x:v>50</x:v>
      </x:c>
      <x:c r="C44" s="39" t="s"/>
      <x:c r="D44" s="40" t="n">
        <x:v>5035.18</x:v>
      </x:c>
      <x:c r="E44" s="41" t="s">
        <x:v>51</x:v>
      </x:c>
      <x:c r="F44" s="42" t="n">
        <x:v>0</x:v>
      </x:c>
      <x:c r="G44" s="43" t="n">
        <x:v>-5035.18</x:v>
      </x:c>
      <x:c r="H44" s="2" t="s"/>
      <x:c r="I44" s="2" t="s"/>
    </x:row>
    <x:row r="45" spans="1:9" s="2" customFormat="1" ht="16" customHeight="1">
      <x:c r="A45" s="39" t="s">
        <x:v>58</x:v>
      </x:c>
      <x:c r="B45" s="39" t="s">
        <x:v>53</x:v>
      </x:c>
      <x:c r="C45" s="39" t="s"/>
      <x:c r="D45" s="40" t="n">
        <x:v>507.39</x:v>
      </x:c>
      <x:c r="E45" s="41" t="s">
        <x:v>51</x:v>
      </x:c>
      <x:c r="F45" s="42" t="n">
        <x:v>0</x:v>
      </x:c>
      <x:c r="G45" s="43" t="n">
        <x:v>-507.39</x:v>
      </x:c>
      <x:c r="H45" s="2" t="s"/>
      <x:c r="I45" s="2" t="s"/>
    </x:row>
    <x:row r="46" spans="1:9" s="2" customFormat="1" ht="16" customHeight="1">
      <x:c r="A46" s="39" t="s">
        <x:v>59</x:v>
      </x:c>
      <x:c r="B46" s="39" t="s">
        <x:v>50</x:v>
      </x:c>
      <x:c r="C46" s="39" t="s"/>
      <x:c r="D46" s="40" t="n">
        <x:v>1346.69</x:v>
      </x:c>
      <x:c r="E46" s="41" t="s">
        <x:v>51</x:v>
      </x:c>
      <x:c r="F46" s="42" t="n">
        <x:v>0</x:v>
      </x:c>
      <x:c r="G46" s="43" t="n">
        <x:v>-1346.69</x:v>
      </x:c>
      <x:c r="H46" s="2" t="s"/>
      <x:c r="I46" s="2" t="s"/>
    </x:row>
    <x:row r="47" spans="1:9" s="2" customFormat="1" ht="16" customHeight="1">
      <x:c r="A47" s="39" t="s">
        <x:v>60</x:v>
      </x:c>
      <x:c r="B47" s="39" t="s">
        <x:v>53</x:v>
      </x:c>
      <x:c r="C47" s="39" t="s"/>
      <x:c r="D47" s="40" t="n">
        <x:v>194.16</x:v>
      </x:c>
      <x:c r="E47" s="41" t="s">
        <x:v>51</x:v>
      </x:c>
      <x:c r="F47" s="42" t="n">
        <x:v>0</x:v>
      </x:c>
      <x:c r="G47" s="43" t="n">
        <x:v>-194.16</x:v>
      </x:c>
      <x:c r="H47" s="2" t="s"/>
      <x:c r="I47" s="2" t="s"/>
    </x:row>
    <x:row r="48" spans="1:9" s="2" customFormat="1" ht="16" customHeight="1">
      <x:c r="A48" s="39" t="s">
        <x:v>61</x:v>
      </x:c>
      <x:c r="B48" s="39" t="s">
        <x:v>50</x:v>
      </x:c>
      <x:c r="C48" s="39" t="s"/>
      <x:c r="D48" s="40" t="n">
        <x:v>863.55</x:v>
      </x:c>
      <x:c r="E48" s="41" t="s">
        <x:v>51</x:v>
      </x:c>
      <x:c r="F48" s="42" t="n">
        <x:v>0</x:v>
      </x:c>
      <x:c r="G48" s="43" t="n">
        <x:v>-863.55</x:v>
      </x:c>
      <x:c r="H48" s="2" t="s"/>
      <x:c r="I48" s="2" t="s"/>
    </x:row>
    <x:row r="49" spans="1:9" s="2" customFormat="1" ht="16" customHeight="1">
      <x:c r="A49" s="39" t="s">
        <x:v>62</x:v>
      </x:c>
      <x:c r="B49" s="39" t="s">
        <x:v>53</x:v>
      </x:c>
      <x:c r="C49" s="39" t="s"/>
      <x:c r="D49" s="40" t="n">
        <x:v>447.28</x:v>
      </x:c>
      <x:c r="E49" s="41" t="s">
        <x:v>51</x:v>
      </x:c>
      <x:c r="F49" s="42" t="n">
        <x:v>0</x:v>
      </x:c>
      <x:c r="G49" s="43" t="n">
        <x:v>-447.28</x:v>
      </x:c>
      <x:c r="H49" s="2" t="s"/>
      <x:c r="I49" s="2" t="s"/>
    </x:row>
    <x:row r="50" spans="1:9" s="2" customFormat="1" ht="16" customHeight="1">
      <x:c r="A50" s="39" t="s">
        <x:v>63</x:v>
      </x:c>
      <x:c r="B50" s="39" t="s">
        <x:v>50</x:v>
      </x:c>
      <x:c r="C50" s="39" t="s"/>
      <x:c r="D50" s="40" t="n">
        <x:v>690.98</x:v>
      </x:c>
      <x:c r="E50" s="41" t="s">
        <x:v>51</x:v>
      </x:c>
      <x:c r="F50" s="42" t="n">
        <x:v>0</x:v>
      </x:c>
      <x:c r="G50" s="43" t="n">
        <x:v>-690.98</x:v>
      </x:c>
      <x:c r="H50" s="2" t="s"/>
      <x:c r="I50" s="2" t="s"/>
    </x:row>
    <x:row r="51" spans="1:9" s="2" customFormat="1" ht="16" customHeight="1">
      <x:c r="A51" s="39" t="s">
        <x:v>64</x:v>
      </x:c>
      <x:c r="B51" s="39" t="s">
        <x:v>53</x:v>
      </x:c>
      <x:c r="C51" s="39" t="s"/>
      <x:c r="D51" s="40" t="n">
        <x:v>167.36</x:v>
      </x:c>
      <x:c r="E51" s="41" t="s">
        <x:v>51</x:v>
      </x:c>
      <x:c r="F51" s="42" t="n">
        <x:v>0</x:v>
      </x:c>
      <x:c r="G51" s="43" t="n">
        <x:v>-167.36</x:v>
      </x:c>
      <x:c r="H51" s="2" t="s"/>
      <x:c r="I51" s="2" t="s"/>
    </x:row>
    <x:row r="52" spans="1:9" s="2" customFormat="1" ht="16" customHeight="1">
      <x:c r="A52" s="39" t="s">
        <x:v>65</x:v>
      </x:c>
      <x:c r="B52" s="39" t="s">
        <x:v>50</x:v>
      </x:c>
      <x:c r="C52" s="39" t="s"/>
      <x:c r="D52" s="40" t="n">
        <x:v>383.81</x:v>
      </x:c>
      <x:c r="E52" s="41" t="s">
        <x:v>51</x:v>
      </x:c>
      <x:c r="F52" s="42" t="n">
        <x:v>0</x:v>
      </x:c>
      <x:c r="G52" s="43" t="n">
        <x:v>-383.81</x:v>
      </x:c>
      <x:c r="H52" s="2" t="s"/>
      <x:c r="I52" s="2" t="s"/>
    </x:row>
    <x:row r="53" spans="1:9" s="2" customFormat="1" ht="16" customHeight="1">
      <x:c r="A53" s="39" t="s">
        <x:v>66</x:v>
      </x:c>
      <x:c r="B53" s="39" t="s">
        <x:v>53</x:v>
      </x:c>
      <x:c r="C53" s="39" t="s"/>
      <x:c r="D53" s="40" t="n">
        <x:v>380.06</x:v>
      </x:c>
      <x:c r="E53" s="41" t="s">
        <x:v>51</x:v>
      </x:c>
      <x:c r="F53" s="42" t="n">
        <x:v>0</x:v>
      </x:c>
      <x:c r="G53" s="43" t="n">
        <x:v>-380.06</x:v>
      </x:c>
      <x:c r="H53" s="2" t="s"/>
      <x:c r="I53" s="2" t="s"/>
    </x:row>
    <x:row r="54" spans="1:9" s="2" customFormat="1" ht="16" customHeight="1">
      <x:c r="A54" s="39" t="s">
        <x:v>67</x:v>
      </x:c>
      <x:c r="B54" s="39" t="s">
        <x:v>68</x:v>
      </x:c>
      <x:c r="C54" s="39" t="s"/>
      <x:c r="D54" s="40" t="n">
        <x:v>2893.8</x:v>
      </x:c>
      <x:c r="E54" s="41" t="s">
        <x:v>51</x:v>
      </x:c>
      <x:c r="F54" s="42" t="n">
        <x:v>0</x:v>
      </x:c>
      <x:c r="G54" s="43" t="n">
        <x:v>-2893.8</x:v>
      </x:c>
      <x:c r="H54" s="2" t="s"/>
      <x:c r="I54" s="2" t="s"/>
    </x:row>
    <x:row r="55" spans="1:9" s="2" customFormat="1" ht="16" customHeight="1">
      <x:c r="A55" s="39" t="s">
        <x:v>57</x:v>
      </x:c>
      <x:c r="B55" s="39" t="s">
        <x:v>68</x:v>
      </x:c>
      <x:c r="C55" s="39" t="s"/>
      <x:c r="D55" s="40" t="n">
        <x:v>2223.34</x:v>
      </x:c>
      <x:c r="E55" s="41" t="s">
        <x:v>51</x:v>
      </x:c>
      <x:c r="F55" s="42" t="n">
        <x:v>0</x:v>
      </x:c>
      <x:c r="G55" s="43" t="n">
        <x:v>-2223.34</x:v>
      </x:c>
      <x:c r="H55" s="2" t="s"/>
      <x:c r="I55" s="2" t="s"/>
    </x:row>
    <x:row r="56" spans="1:9" s="2" customFormat="1" ht="16" customHeight="1">
      <x:c r="A56" s="39" t="s">
        <x:v>49</x:v>
      </x:c>
      <x:c r="B56" s="39" t="s">
        <x:v>68</x:v>
      </x:c>
      <x:c r="C56" s="39" t="s"/>
      <x:c r="D56" s="40" t="n">
        <x:v>871.89</x:v>
      </x:c>
      <x:c r="E56" s="41" t="s">
        <x:v>51</x:v>
      </x:c>
      <x:c r="F56" s="42" t="n">
        <x:v>0</x:v>
      </x:c>
      <x:c r="G56" s="43" t="n">
        <x:v>-871.89</x:v>
      </x:c>
      <x:c r="H56" s="2" t="s"/>
      <x:c r="I56" s="2" t="s"/>
    </x:row>
    <x:row r="60" spans="1:9" customFormat="1" ht="18" customHeight="1">
      <x:c r="A60" s="44" t="s">
        <x:v>69</x:v>
      </x:c>
      <x:c r="B60" s="44" t="s"/>
      <x:c r="C60" s="44" t="s"/>
      <x:c r="D60" s="44" t="s"/>
      <x:c r="E60" s="44" t="s"/>
    </x:row>
    <x:row r="62" spans="1:9">
      <x:c r="A62" s="45" t="s">
        <x:v>70</x:v>
      </x:c>
      <x:c r="B62" s="45" t="s"/>
      <x:c r="C62" s="45" t="s"/>
      <x:c r="D62" s="45" t="s"/>
      <x:c r="E62" s="45" t="s"/>
    </x:row>
    <x:row r="63" spans="1:9">
      <x:c r="A63" s="46" t="s">
        <x:v>71</x:v>
      </x:c>
      <x:c r="B63" s="46" t="s">
        <x:v>72</x:v>
      </x:c>
      <x:c r="C63" s="46" t="s">
        <x:v>73</x:v>
      </x:c>
      <x:c r="D63" s="46" t="s">
        <x:v>74</x:v>
      </x:c>
      <x:c r="E63" s="47" t="s">
        <x:v>75</x:v>
      </x:c>
    </x:row>
    <x:row r="64" spans="1:9">
      <x:c r="A64" s="1" t="s">
        <x:v>76</x:v>
      </x:c>
      <x:c r="B64" s="48" t="n">
        <x:v>2893.8</x:v>
      </x:c>
      <x:c r="C64" s="48" t="n">
        <x:v>6121772.17</x:v>
      </x:c>
      <x:c r="D64" s="48" t="n">
        <x:v>61836.08</x:v>
      </x:c>
      <x:c r="E64" s="49" t="n">
        <x:v>6183608.25</x:v>
      </x:c>
    </x:row>
    <x:row r="65" spans="1:9">
      <x:c r="A65" s="1" t="s">
        <x:v>77</x:v>
      </x:c>
      <x:c r="B65" s="48" t="n">
        <x:v>0</x:v>
      </x:c>
      <x:c r="C65" s="48" t="n">
        <x:v>0</x:v>
      </x:c>
      <x:c r="D65" s="48" t="n">
        <x:v>0</x:v>
      </x:c>
      <x:c r="E65" s="49" t="n">
        <x:v>0</x:v>
      </x:c>
    </x:row>
    <x:row r="66" spans="1:9">
      <x:c r="A66" s="1" t="s">
        <x:v>78</x:v>
      </x:c>
      <x:c r="B66" s="48" t="n">
        <x:v>0</x:v>
      </x:c>
      <x:c r="C66" s="48" t="n">
        <x:v>0</x:v>
      </x:c>
      <x:c r="D66" s="48" t="n">
        <x:v>0</x:v>
      </x:c>
      <x:c r="E66" s="49" t="n">
        <x:v>0</x:v>
      </x:c>
    </x:row>
    <x:row r="67" spans="1:9">
      <x:c r="A67" s="1" t="s">
        <x:v>79</x:v>
      </x:c>
      <x:c r="B67" s="48" t="n">
        <x:v>0</x:v>
      </x:c>
      <x:c r="C67" s="48" t="n">
        <x:v>0</x:v>
      </x:c>
      <x:c r="D67" s="48" t="n">
        <x:v>0</x:v>
      </x:c>
      <x:c r="E67" s="49" t="n">
        <x:v>0</x:v>
      </x:c>
    </x:row>
    <x:row r="68" spans="1:9">
      <x:c r="A68" s="1" t="s">
        <x:v>80</x:v>
      </x:c>
      <x:c r="B68" s="48" t="n">
        <x:v>2893.8</x:v>
      </x:c>
      <x:c r="C68" s="48" t="n">
        <x:v>6121772.17</x:v>
      </x:c>
      <x:c r="D68" s="48" t="n">
        <x:v>61836.08</x:v>
      </x:c>
      <x:c r="E68" s="49" t="n">
        <x:v>6183608.25</x:v>
      </x:c>
    </x:row>
    <x:row r="69" spans="1:9">
      <x:c r="A69" s="1" t="s">
        <x:v>81</x:v>
      </x:c>
      <x:c r="B69" s="48" t="n">
        <x:v>2893.8</x:v>
      </x:c>
      <x:c r="C69" s="48" t="n">
        <x:v>6121772.17</x:v>
      </x:c>
      <x:c r="D69" s="48" t="n">
        <x:v>61836.08</x:v>
      </x:c>
      <x:c r="E69" s="49" t="n">
        <x:v>6183608.25</x:v>
      </x:c>
    </x:row>
    <x:row r="70" spans="1:9">
      <x:c r="A70" s="1" t="s">
        <x:v>82</x:v>
      </x:c>
      <x:c r="B70" s="48" t="n">
        <x:v>2893.8</x:v>
      </x:c>
      <x:c r="C70" s="48" t="n">
        <x:v>6121772.17</x:v>
      </x:c>
      <x:c r="D70" s="48" t="n">
        <x:v>61836.08</x:v>
      </x:c>
      <x:c r="E70" s="49" t="n">
        <x:v>6183608.25</x:v>
      </x:c>
    </x:row>
    <x:row r="71" spans="1:9">
      <x:c r="A71" s="50" t="s">
        <x:v>83</x:v>
      </x:c>
      <x:c r="B71" s="51">
        <x:f>B69 - B70</x:f>
      </x:c>
      <x:c r="C71" s="51">
        <x:f>C69 - C70</x:f>
      </x:c>
      <x:c r="D71" s="51">
        <x:f>D69 - D70</x:f>
      </x:c>
      <x:c r="E71" s="52">
        <x:f>E69 - E70</x:f>
      </x:c>
    </x:row>
    <x:row r="73" spans="1:9">
      <x:c r="A73" s="45" t="s">
        <x:v>84</x:v>
      </x:c>
      <x:c r="B73" s="45" t="s"/>
      <x:c r="C73" s="45" t="s"/>
      <x:c r="D73" s="45" t="s"/>
      <x:c r="E73" s="45" t="s"/>
    </x:row>
    <x:row r="74" spans="1:9">
      <x:c r="A74" s="46" t="s">
        <x:v>85</x:v>
      </x:c>
      <x:c r="B74" s="46" t="s">
        <x:v>72</x:v>
      </x:c>
      <x:c r="C74" s="46" t="s">
        <x:v>73</x:v>
      </x:c>
      <x:c r="D74" s="46" t="s">
        <x:v>74</x:v>
      </x:c>
      <x:c r="E74" s="47" t="s">
        <x:v>75</x:v>
      </x:c>
    </x:row>
    <x:row r="75" spans="1:9">
      <x:c r="A75" s="1" t="s">
        <x:v>76</x:v>
      </x:c>
      <x:c r="B75" s="48" t="n">
        <x:v>2223.34</x:v>
      </x:c>
      <x:c r="C75" s="48" t="n">
        <x:v>4706251</x:v>
      </x:c>
      <x:c r="D75" s="48" t="n">
        <x:v>47537.88</x:v>
      </x:c>
      <x:c r="E75" s="49" t="n">
        <x:v>4753788.88</x:v>
      </x:c>
    </x:row>
    <x:row r="76" spans="1:9">
      <x:c r="A76" s="1" t="s">
        <x:v>77</x:v>
      </x:c>
      <x:c r="B76" s="48" t="n">
        <x:v>0</x:v>
      </x:c>
      <x:c r="C76" s="48" t="n">
        <x:v>0</x:v>
      </x:c>
      <x:c r="D76" s="48" t="n">
        <x:v>0</x:v>
      </x:c>
      <x:c r="E76" s="49" t="n">
        <x:v>0</x:v>
      </x:c>
    </x:row>
    <x:row r="77" spans="1:9">
      <x:c r="A77" s="1" t="s">
        <x:v>78</x:v>
      </x:c>
      <x:c r="B77" s="48" t="n">
        <x:v>0</x:v>
      </x:c>
      <x:c r="C77" s="48" t="n">
        <x:v>0</x:v>
      </x:c>
      <x:c r="D77" s="48" t="n">
        <x:v>0</x:v>
      </x:c>
      <x:c r="E77" s="49" t="n">
        <x:v>0</x:v>
      </x:c>
    </x:row>
    <x:row r="78" spans="1:9">
      <x:c r="A78" s="1" t="s">
        <x:v>79</x:v>
      </x:c>
      <x:c r="B78" s="48" t="n">
        <x:v>0</x:v>
      </x:c>
      <x:c r="C78" s="48" t="n">
        <x:v>0</x:v>
      </x:c>
      <x:c r="D78" s="48" t="n">
        <x:v>0</x:v>
      </x:c>
      <x:c r="E78" s="49" t="n">
        <x:v>0</x:v>
      </x:c>
    </x:row>
    <x:row r="79" spans="1:9">
      <x:c r="A79" s="1" t="s">
        <x:v>80</x:v>
      </x:c>
      <x:c r="B79" s="48" t="n">
        <x:v>2223.34</x:v>
      </x:c>
      <x:c r="C79" s="48" t="n">
        <x:v>4706251</x:v>
      </x:c>
      <x:c r="D79" s="48" t="n">
        <x:v>47537.88</x:v>
      </x:c>
      <x:c r="E79" s="49" t="n">
        <x:v>4753788.88</x:v>
      </x:c>
    </x:row>
    <x:row r="80" spans="1:9">
      <x:c r="A80" s="1" t="s">
        <x:v>81</x:v>
      </x:c>
      <x:c r="B80" s="48" t="n">
        <x:v>2223.34</x:v>
      </x:c>
      <x:c r="C80" s="48" t="n">
        <x:v>4706251</x:v>
      </x:c>
      <x:c r="D80" s="48" t="n">
        <x:v>47537.88</x:v>
      </x:c>
      <x:c r="E80" s="49" t="n">
        <x:v>4753788.88</x:v>
      </x:c>
    </x:row>
    <x:row r="81" spans="1:9">
      <x:c r="A81" s="1" t="s">
        <x:v>82</x:v>
      </x:c>
      <x:c r="B81" s="48" t="n">
        <x:v>2223.34</x:v>
      </x:c>
      <x:c r="C81" s="48" t="n">
        <x:v>4706251</x:v>
      </x:c>
      <x:c r="D81" s="48" t="n">
        <x:v>47537.88</x:v>
      </x:c>
      <x:c r="E81" s="49" t="n">
        <x:v>4753788.88</x:v>
      </x:c>
    </x:row>
    <x:row r="82" spans="1:9">
      <x:c r="A82" s="50" t="s">
        <x:v>83</x:v>
      </x:c>
      <x:c r="B82" s="51">
        <x:f>B80 - B81</x:f>
      </x:c>
      <x:c r="C82" s="51">
        <x:f>C80 - C81</x:f>
      </x:c>
      <x:c r="D82" s="51">
        <x:f>D80 - D81</x:f>
      </x:c>
      <x:c r="E82" s="52">
        <x:f>E80 - E81</x:f>
      </x:c>
    </x:row>
    <x:row r="84" spans="1:9">
      <x:c r="A84" s="45" t="s">
        <x:v>86</x:v>
      </x:c>
      <x:c r="B84" s="45" t="s"/>
      <x:c r="C84" s="45" t="s"/>
      <x:c r="D84" s="45" t="s"/>
      <x:c r="E84" s="45" t="s"/>
    </x:row>
    <x:row r="85" spans="1:9">
      <x:c r="A85" s="46" t="s">
        <x:v>87</x:v>
      </x:c>
      <x:c r="B85" s="46" t="s">
        <x:v>72</x:v>
      </x:c>
      <x:c r="C85" s="46" t="s">
        <x:v>73</x:v>
      </x:c>
      <x:c r="D85" s="46" t="s">
        <x:v>74</x:v>
      </x:c>
      <x:c r="E85" s="47" t="s">
        <x:v>75</x:v>
      </x:c>
    </x:row>
    <x:row r="86" spans="1:9">
      <x:c r="A86" s="1" t="s">
        <x:v>76</x:v>
      </x:c>
      <x:c r="B86" s="48" t="n">
        <x:v>871.89</x:v>
      </x:c>
      <x:c r="C86" s="48" t="n">
        <x:v>1854525.96</x:v>
      </x:c>
      <x:c r="D86" s="48" t="n">
        <x:v>18732.6</x:v>
      </x:c>
      <x:c r="E86" s="49" t="n">
        <x:v>1873258.56</x:v>
      </x:c>
    </x:row>
    <x:row r="87" spans="1:9">
      <x:c r="A87" s="1" t="s">
        <x:v>77</x:v>
      </x:c>
      <x:c r="B87" s="48" t="n">
        <x:v>0</x:v>
      </x:c>
      <x:c r="C87" s="48" t="n">
        <x:v>0</x:v>
      </x:c>
      <x:c r="D87" s="48" t="n">
        <x:v>0</x:v>
      </x:c>
      <x:c r="E87" s="49" t="n">
        <x:v>0</x:v>
      </x:c>
    </x:row>
    <x:row r="88" spans="1:9">
      <x:c r="A88" s="1" t="s">
        <x:v>78</x:v>
      </x:c>
      <x:c r="B88" s="48" t="n">
        <x:v>0</x:v>
      </x:c>
      <x:c r="C88" s="48" t="n">
        <x:v>0</x:v>
      </x:c>
      <x:c r="D88" s="48" t="n">
        <x:v>0</x:v>
      </x:c>
      <x:c r="E88" s="49" t="n">
        <x:v>0</x:v>
      </x:c>
    </x:row>
    <x:row r="89" spans="1:9">
      <x:c r="A89" s="1" t="s">
        <x:v>79</x:v>
      </x:c>
      <x:c r="B89" s="48" t="n">
        <x:v>0</x:v>
      </x:c>
      <x:c r="C89" s="48" t="n">
        <x:v>0</x:v>
      </x:c>
      <x:c r="D89" s="48" t="n">
        <x:v>0</x:v>
      </x:c>
      <x:c r="E89" s="49" t="n">
        <x:v>0</x:v>
      </x:c>
    </x:row>
    <x:row r="90" spans="1:9">
      <x:c r="A90" s="1" t="s">
        <x:v>80</x:v>
      </x:c>
      <x:c r="B90" s="48" t="n">
        <x:v>871.89</x:v>
      </x:c>
      <x:c r="C90" s="48" t="n">
        <x:v>1854525.96</x:v>
      </x:c>
      <x:c r="D90" s="48" t="n">
        <x:v>18732.6</x:v>
      </x:c>
      <x:c r="E90" s="49" t="n">
        <x:v>1873258.56</x:v>
      </x:c>
    </x:row>
    <x:row r="91" spans="1:9">
      <x:c r="A91" s="1" t="s">
        <x:v>81</x:v>
      </x:c>
      <x:c r="B91" s="48" t="n">
        <x:v>871.89</x:v>
      </x:c>
      <x:c r="C91" s="48" t="n">
        <x:v>1854525.96</x:v>
      </x:c>
      <x:c r="D91" s="48" t="n">
        <x:v>18732.6</x:v>
      </x:c>
      <x:c r="E91" s="49" t="n">
        <x:v>1873258.56</x:v>
      </x:c>
    </x:row>
    <x:row r="92" spans="1:9">
      <x:c r="A92" s="1" t="s">
        <x:v>82</x:v>
      </x:c>
      <x:c r="B92" s="48" t="n">
        <x:v>871.89</x:v>
      </x:c>
      <x:c r="C92" s="48" t="n">
        <x:v>1854525.96</x:v>
      </x:c>
      <x:c r="D92" s="48" t="n">
        <x:v>18732.6</x:v>
      </x:c>
      <x:c r="E92" s="49" t="n">
        <x:v>1873258.56</x:v>
      </x:c>
    </x:row>
    <x:row r="93" spans="1:9">
      <x:c r="A93" s="50" t="s">
        <x:v>83</x:v>
      </x:c>
      <x:c r="B93" s="51">
        <x:f>B91 - B92</x:f>
      </x:c>
      <x:c r="C93" s="51">
        <x:f>C91 - C92</x:f>
      </x:c>
      <x:c r="D93" s="51">
        <x:f>D91 - D92</x:f>
      </x:c>
      <x:c r="E93" s="52">
        <x:f>E91 - E92</x:f>
      </x:c>
    </x:row>
    <x:row r="95" spans="1:9">
      <x:c r="A95" s="45" t="s">
        <x:v>88</x:v>
      </x:c>
      <x:c r="B95" s="45" t="s"/>
      <x:c r="C95" s="45" t="s"/>
      <x:c r="D95" s="45" t="s"/>
      <x:c r="E95" s="45" t="s"/>
    </x:row>
    <x:row r="96" spans="1:9">
      <x:c r="A96" s="46" t="s">
        <x:v>89</x:v>
      </x:c>
      <x:c r="B96" s="46" t="s">
        <x:v>72</x:v>
      </x:c>
      <x:c r="C96" s="46" t="s">
        <x:v>73</x:v>
      </x:c>
      <x:c r="D96" s="46" t="s">
        <x:v>74</x:v>
      </x:c>
      <x:c r="E96" s="47" t="s">
        <x:v>75</x:v>
      </x:c>
    </x:row>
    <x:row r="97" spans="1:9">
      <x:c r="A97" s="1" t="s">
        <x:v>76</x:v>
      </x:c>
      <x:c r="B97" s="48" t="n">
        <x:v>1310.83</x:v>
      </x:c>
      <x:c r="C97" s="48" t="n">
        <x:v>2774306.64</x:v>
      </x:c>
      <x:c r="D97" s="48" t="n">
        <x:v>28023.3</x:v>
      </x:c>
      <x:c r="E97" s="49" t="n">
        <x:v>2802329.94</x:v>
      </x:c>
    </x:row>
    <x:row r="98" spans="1:9">
      <x:c r="A98" s="1" t="s">
        <x:v>77</x:v>
      </x:c>
      <x:c r="B98" s="48" t="n">
        <x:v>0</x:v>
      </x:c>
      <x:c r="C98" s="48" t="n">
        <x:v>0</x:v>
      </x:c>
      <x:c r="D98" s="48" t="n">
        <x:v>0</x:v>
      </x:c>
      <x:c r="E98" s="49" t="n">
        <x:v>0</x:v>
      </x:c>
    </x:row>
    <x:row r="99" spans="1:9">
      <x:c r="A99" s="1" t="s">
        <x:v>90</x:v>
      </x:c>
      <x:c r="B99" s="48" t="n">
        <x:v>863.55</x:v>
      </x:c>
      <x:c r="C99" s="48" t="n">
        <x:v>1827631.81</x:v>
      </x:c>
      <x:c r="D99" s="48" t="n">
        <x:v>18460.92</x:v>
      </x:c>
      <x:c r="E99" s="49" t="n">
        <x:v>1846092.73</x:v>
      </x:c>
    </x:row>
    <x:row r="100" spans="1:9">
      <x:c r="A100" s="1" t="s">
        <x:v>78</x:v>
      </x:c>
      <x:c r="B100" s="48" t="n">
        <x:v>447.28</x:v>
      </x:c>
      <x:c r="C100" s="48" t="n">
        <x:v>883297.77</x:v>
      </x:c>
      <x:c r="D100" s="48" t="n">
        <x:v>0</x:v>
      </x:c>
      <x:c r="E100" s="49" t="n">
        <x:v>883297.77</x:v>
      </x:c>
    </x:row>
    <x:row r="101" spans="1:9">
      <x:c r="A101" s="1" t="s">
        <x:v>79</x:v>
      </x:c>
      <x:c r="B101" s="48" t="n">
        <x:v>0</x:v>
      </x:c>
      <x:c r="C101" s="48" t="n">
        <x:v>0</x:v>
      </x:c>
      <x:c r="D101" s="48" t="n">
        <x:v>0</x:v>
      </x:c>
      <x:c r="E101" s="49" t="n">
        <x:v>0</x:v>
      </x:c>
    </x:row>
    <x:row r="102" spans="1:9">
      <x:c r="A102" s="1" t="s">
        <x:v>81</x:v>
      </x:c>
      <x:c r="B102" s="48" t="n">
        <x:v>0</x:v>
      </x:c>
      <x:c r="C102" s="48" t="n">
        <x:v>63377.06</x:v>
      </x:c>
      <x:c r="D102" s="48" t="n">
        <x:v>9562.38</x:v>
      </x:c>
      <x:c r="E102" s="49" t="n">
        <x:v>72939.44</x:v>
      </x:c>
    </x:row>
    <x:row r="103" spans="1:9">
      <x:c r="A103" s="1" t="s">
        <x:v>82</x:v>
      </x:c>
      <x:c r="B103" s="48" t="n">
        <x:v>0</x:v>
      </x:c>
      <x:c r="C103" s="48" t="n">
        <x:v>4562.69</x:v>
      </x:c>
      <x:c r="D103" s="48" t="n">
        <x:v>68376.75</x:v>
      </x:c>
      <x:c r="E103" s="49" t="n">
        <x:v>72939.44</x:v>
      </x:c>
    </x:row>
    <x:row r="104" spans="1:9">
      <x:c r="A104" s="50" t="s">
        <x:v>83</x:v>
      </x:c>
      <x:c r="B104" s="51">
        <x:f>B102 - B103</x:f>
      </x:c>
      <x:c r="C104" s="51">
        <x:f>C102 - C103</x:f>
      </x:c>
      <x:c r="D104" s="51">
        <x:f>D102 - D103</x:f>
      </x:c>
      <x:c r="E104" s="52">
        <x:f>E102 - E103</x:f>
      </x:c>
    </x:row>
    <x:row r="106" spans="1:9">
      <x:c r="A106" s="45" t="s">
        <x:v>91</x:v>
      </x:c>
      <x:c r="B106" s="45" t="s"/>
      <x:c r="C106" s="45" t="s"/>
      <x:c r="D106" s="45" t="s"/>
      <x:c r="E106" s="45" t="s"/>
    </x:row>
    <x:row r="107" spans="1:9">
      <x:c r="A107" s="46" t="s">
        <x:v>92</x:v>
      </x:c>
      <x:c r="B107" s="46" t="s">
        <x:v>72</x:v>
      </x:c>
      <x:c r="C107" s="46" t="s">
        <x:v>73</x:v>
      </x:c>
      <x:c r="D107" s="46" t="s">
        <x:v>74</x:v>
      </x:c>
      <x:c r="E107" s="47" t="s">
        <x:v>75</x:v>
      </x:c>
    </x:row>
    <x:row r="108" spans="1:9">
      <x:c r="A108" s="1" t="s">
        <x:v>76</x:v>
      </x:c>
      <x:c r="B108" s="48" t="n">
        <x:v>10644.1</x:v>
      </x:c>
      <x:c r="C108" s="48" t="n">
        <x:v>22517352.01</x:v>
      </x:c>
      <x:c r="D108" s="48" t="n">
        <x:v>227447.99</x:v>
      </x:c>
      <x:c r="E108" s="49" t="n">
        <x:v>22744800</x:v>
      </x:c>
    </x:row>
    <x:row r="109" spans="1:9">
      <x:c r="A109" s="1" t="s">
        <x:v>77</x:v>
      </x:c>
      <x:c r="B109" s="48" t="n">
        <x:v>0</x:v>
      </x:c>
      <x:c r="C109" s="48" t="n">
        <x:v>0</x:v>
      </x:c>
      <x:c r="D109" s="48" t="n">
        <x:v>0</x:v>
      </x:c>
      <x:c r="E109" s="49" t="n">
        <x:v>0</x:v>
      </x:c>
    </x:row>
    <x:row r="110" spans="1:9">
      <x:c r="A110" s="1" t="s">
        <x:v>90</x:v>
      </x:c>
      <x:c r="B110" s="48" t="n">
        <x:v>5526.01</x:v>
      </x:c>
      <x:c r="C110" s="48" t="n">
        <x:v>11690146.62</x:v>
      </x:c>
      <x:c r="D110" s="48" t="n">
        <x:v>118082.29</x:v>
      </x:c>
      <x:c r="E110" s="49" t="n">
        <x:v>11808228.91</x:v>
      </x:c>
    </x:row>
    <x:row r="111" spans="1:9">
      <x:c r="A111" s="1" t="s">
        <x:v>78</x:v>
      </x:c>
      <x:c r="B111" s="48" t="n">
        <x:v>5118.09</x:v>
      </x:c>
      <x:c r="C111" s="48" t="n">
        <x:v>10774947.02</x:v>
      </x:c>
      <x:c r="D111" s="48" t="n">
        <x:v>0</x:v>
      </x:c>
      <x:c r="E111" s="49" t="n">
        <x:v>10774947.02</x:v>
      </x:c>
    </x:row>
    <x:row r="112" spans="1:9">
      <x:c r="A112" s="1" t="s">
        <x:v>79</x:v>
      </x:c>
      <x:c r="B112" s="48" t="n">
        <x:v>0</x:v>
      </x:c>
      <x:c r="C112" s="48" t="n">
        <x:v>0</x:v>
      </x:c>
      <x:c r="D112" s="48" t="n">
        <x:v>0</x:v>
      </x:c>
      <x:c r="E112" s="49" t="n">
        <x:v>0</x:v>
      </x:c>
    </x:row>
    <x:row r="113" spans="1:9">
      <x:c r="A113" s="1" t="s">
        <x:v>81</x:v>
      </x:c>
      <x:c r="B113" s="48" t="n">
        <x:v>0</x:v>
      </x:c>
      <x:c r="C113" s="48" t="n">
        <x:v>52258.37</x:v>
      </x:c>
      <x:c r="D113" s="48" t="n">
        <x:v>109365.7</x:v>
      </x:c>
      <x:c r="E113" s="49" t="n">
        <x:v>161624.07</x:v>
      </x:c>
    </x:row>
    <x:row r="114" spans="1:9">
      <x:c r="A114" s="1" t="s">
        <x:v>82</x:v>
      </x:c>
      <x:c r="B114" s="48" t="n">
        <x:v>0</x:v>
      </x:c>
      <x:c r="C114" s="48" t="n">
        <x:v>52258.37</x:v>
      </x:c>
      <x:c r="D114" s="48" t="n">
        <x:v>109365.7</x:v>
      </x:c>
      <x:c r="E114" s="49" t="n">
        <x:v>161624.07</x:v>
      </x:c>
    </x:row>
    <x:row r="115" spans="1:9">
      <x:c r="A115" s="50" t="s">
        <x:v>83</x:v>
      </x:c>
      <x:c r="B115" s="51">
        <x:f>B113 - B114</x:f>
      </x:c>
      <x:c r="C115" s="51">
        <x:f>C113 - C114</x:f>
      </x:c>
      <x:c r="D115" s="51">
        <x:f>D113 - D114</x:f>
      </x:c>
      <x:c r="E115" s="52">
        <x:f>E113 - E114</x:f>
      </x:c>
    </x:row>
    <x:row r="117" spans="1:9">
      <x:c r="A117" s="45" t="s">
        <x:v>93</x:v>
      </x:c>
      <x:c r="B117" s="45" t="s"/>
      <x:c r="C117" s="45" t="s"/>
      <x:c r="D117" s="45" t="s"/>
      <x:c r="E117" s="45" t="s"/>
    </x:row>
    <x:row r="118" spans="1:9">
      <x:c r="A118" s="46" t="s">
        <x:v>94</x:v>
      </x:c>
      <x:c r="B118" s="46" t="s">
        <x:v>72</x:v>
      </x:c>
      <x:c r="C118" s="46" t="s">
        <x:v>73</x:v>
      </x:c>
      <x:c r="D118" s="46" t="s">
        <x:v>74</x:v>
      </x:c>
      <x:c r="E118" s="47" t="s">
        <x:v>75</x:v>
      </x:c>
    </x:row>
    <x:row r="119" spans="1:9">
      <x:c r="A119" s="1" t="s">
        <x:v>76</x:v>
      </x:c>
      <x:c r="B119" s="48" t="n">
        <x:v>1540.85</x:v>
      </x:c>
      <x:c r="C119" s="48" t="n">
        <x:v>3261167.96</x:v>
      </x:c>
      <x:c r="D119" s="48" t="n">
        <x:v>32941.12</x:v>
      </x:c>
      <x:c r="E119" s="49" t="n">
        <x:v>3294109.08</x:v>
      </x:c>
    </x:row>
    <x:row r="120" spans="1:9">
      <x:c r="A120" s="1" t="s">
        <x:v>77</x:v>
      </x:c>
      <x:c r="B120" s="48" t="n">
        <x:v>0</x:v>
      </x:c>
      <x:c r="C120" s="48" t="n">
        <x:v>0</x:v>
      </x:c>
      <x:c r="D120" s="48" t="n">
        <x:v>0</x:v>
      </x:c>
      <x:c r="E120" s="49" t="n">
        <x:v>0</x:v>
      </x:c>
    </x:row>
    <x:row r="121" spans="1:9">
      <x:c r="A121" s="1" t="s">
        <x:v>90</x:v>
      </x:c>
      <x:c r="B121" s="48" t="n">
        <x:v>1346.69</x:v>
      </x:c>
      <x:c r="C121" s="48" t="n">
        <x:v>2850235.34</x:v>
      </x:c>
      <x:c r="D121" s="48" t="n">
        <x:v>28790.25</x:v>
      </x:c>
      <x:c r="E121" s="49" t="n">
        <x:v>2879025.59</x:v>
      </x:c>
    </x:row>
    <x:row r="122" spans="1:9">
      <x:c r="A122" s="1" t="s">
        <x:v>78</x:v>
      </x:c>
      <x:c r="B122" s="48" t="n">
        <x:v>194.16</x:v>
      </x:c>
      <x:c r="C122" s="48" t="n">
        <x:v>408952.16</x:v>
      </x:c>
      <x:c r="D122" s="48" t="n">
        <x:v>0</x:v>
      </x:c>
      <x:c r="E122" s="49" t="n">
        <x:v>408952.16</x:v>
      </x:c>
    </x:row>
    <x:row r="123" spans="1:9">
      <x:c r="A123" s="1" t="s">
        <x:v>79</x:v>
      </x:c>
      <x:c r="B123" s="48" t="n">
        <x:v>0</x:v>
      </x:c>
      <x:c r="C123" s="48" t="n">
        <x:v>0</x:v>
      </x:c>
      <x:c r="D123" s="48" t="n">
        <x:v>0</x:v>
      </x:c>
      <x:c r="E123" s="49" t="n">
        <x:v>0</x:v>
      </x:c>
    </x:row>
    <x:row r="124" spans="1:9">
      <x:c r="A124" s="1" t="s">
        <x:v>81</x:v>
      </x:c>
      <x:c r="B124" s="48" t="n">
        <x:v>0</x:v>
      </x:c>
      <x:c r="C124" s="48" t="n">
        <x:v>1980.46</x:v>
      </x:c>
      <x:c r="D124" s="48" t="n">
        <x:v>4150.87</x:v>
      </x:c>
      <x:c r="E124" s="49" t="n">
        <x:v>6131.33</x:v>
      </x:c>
    </x:row>
    <x:row r="125" spans="1:9">
      <x:c r="A125" s="1" t="s">
        <x:v>82</x:v>
      </x:c>
      <x:c r="B125" s="48" t="n">
        <x:v>0</x:v>
      </x:c>
      <x:c r="C125" s="48" t="n">
        <x:v>1980.46</x:v>
      </x:c>
      <x:c r="D125" s="48" t="n">
        <x:v>4150.87</x:v>
      </x:c>
      <x:c r="E125" s="49" t="n">
        <x:v>6131.33</x:v>
      </x:c>
    </x:row>
    <x:row r="126" spans="1:9">
      <x:c r="A126" s="50" t="s">
        <x:v>83</x:v>
      </x:c>
      <x:c r="B126" s="51">
        <x:f>B124 - B125</x:f>
      </x:c>
      <x:c r="C126" s="51">
        <x:f>C124 - C125</x:f>
      </x:c>
      <x:c r="D126" s="51">
        <x:f>D124 - D125</x:f>
      </x:c>
      <x:c r="E126" s="52">
        <x:f>E124 - E125</x:f>
      </x:c>
    </x:row>
    <x:row r="128" spans="1:9">
      <x:c r="A128" s="45" t="s">
        <x:v>95</x:v>
      </x:c>
      <x:c r="B128" s="45" t="s"/>
      <x:c r="C128" s="45" t="s"/>
      <x:c r="D128" s="45" t="s"/>
      <x:c r="E128" s="45" t="s"/>
    </x:row>
    <x:row r="129" spans="1:9">
      <x:c r="A129" s="46" t="s">
        <x:v>96</x:v>
      </x:c>
      <x:c r="B129" s="46" t="s">
        <x:v>72</x:v>
      </x:c>
      <x:c r="C129" s="46" t="s">
        <x:v>73</x:v>
      </x:c>
      <x:c r="D129" s="46" t="s">
        <x:v>74</x:v>
      </x:c>
      <x:c r="E129" s="47" t="s">
        <x:v>75</x:v>
      </x:c>
    </x:row>
    <x:row r="130" spans="1:9">
      <x:c r="A130" s="1" t="s">
        <x:v>76</x:v>
      </x:c>
      <x:c r="B130" s="48" t="n">
        <x:v>858.34</x:v>
      </x:c>
      <x:c r="C130" s="48" t="n">
        <x:v>1816843.1</x:v>
      </x:c>
      <x:c r="D130" s="48" t="n">
        <x:v>18351.94</x:v>
      </x:c>
      <x:c r="E130" s="49" t="n">
        <x:v>1835195.04</x:v>
      </x:c>
    </x:row>
    <x:row r="131" spans="1:9">
      <x:c r="A131" s="1" t="s">
        <x:v>77</x:v>
      </x:c>
      <x:c r="B131" s="48" t="n">
        <x:v>0</x:v>
      </x:c>
      <x:c r="C131" s="48" t="n">
        <x:v>0</x:v>
      </x:c>
      <x:c r="D131" s="48" t="n">
        <x:v>0</x:v>
      </x:c>
      <x:c r="E131" s="49" t="n">
        <x:v>0</x:v>
      </x:c>
    </x:row>
    <x:row r="132" spans="1:9">
      <x:c r="A132" s="1" t="s">
        <x:v>90</x:v>
      </x:c>
      <x:c r="B132" s="48" t="n">
        <x:v>690.98</x:v>
      </x:c>
      <x:c r="C132" s="48" t="n">
        <x:v>1462592.64</x:v>
      </x:c>
      <x:c r="D132" s="48" t="n">
        <x:v>14773.66</x:v>
      </x:c>
      <x:c r="E132" s="49" t="n">
        <x:v>1477366.3</x:v>
      </x:c>
    </x:row>
    <x:row r="133" spans="1:9">
      <x:c r="A133" s="1" t="s">
        <x:v>78</x:v>
      </x:c>
      <x:c r="B133" s="48" t="n">
        <x:v>167.36</x:v>
      </x:c>
      <x:c r="C133" s="48" t="n">
        <x:v>337083.21</x:v>
      </x:c>
      <x:c r="D133" s="48" t="n">
        <x:v>0</x:v>
      </x:c>
      <x:c r="E133" s="49" t="n">
        <x:v>337083.21</x:v>
      </x:c>
    </x:row>
    <x:row r="134" spans="1:9">
      <x:c r="A134" s="1" t="s">
        <x:v>79</x:v>
      </x:c>
      <x:c r="B134" s="48" t="n">
        <x:v>0</x:v>
      </x:c>
      <x:c r="C134" s="48" t="n">
        <x:v>0</x:v>
      </x:c>
      <x:c r="D134" s="48" t="n">
        <x:v>0</x:v>
      </x:c>
      <x:c r="E134" s="49" t="n">
        <x:v>0</x:v>
      </x:c>
    </x:row>
    <x:row r="135" spans="1:9">
      <x:c r="A135" s="1" t="s">
        <x:v>81</x:v>
      </x:c>
      <x:c r="B135" s="48" t="n">
        <x:v>0</x:v>
      </x:c>
      <x:c r="C135" s="48" t="n">
        <x:v>17167.25</x:v>
      </x:c>
      <x:c r="D135" s="48" t="n">
        <x:v>3578.28</x:v>
      </x:c>
      <x:c r="E135" s="49" t="n">
        <x:v>20745.53</x:v>
      </x:c>
    </x:row>
    <x:row r="136" spans="1:9">
      <x:c r="A136" s="1" t="s">
        <x:v>82</x:v>
      </x:c>
      <x:c r="B136" s="48" t="n">
        <x:v>0</x:v>
      </x:c>
      <x:c r="C136" s="48" t="n">
        <x:v>1706.73</x:v>
      </x:c>
      <x:c r="D136" s="48" t="n">
        <x:v>19038.8</x:v>
      </x:c>
      <x:c r="E136" s="49" t="n">
        <x:v>20745.53</x:v>
      </x:c>
    </x:row>
    <x:row r="137" spans="1:9">
      <x:c r="A137" s="50" t="s">
        <x:v>83</x:v>
      </x:c>
      <x:c r="B137" s="51">
        <x:f>B135 - B136</x:f>
      </x:c>
      <x:c r="C137" s="51">
        <x:f>C135 - C136</x:f>
      </x:c>
      <x:c r="D137" s="51">
        <x:f>D135 - D136</x:f>
      </x:c>
      <x:c r="E137" s="52">
        <x:f>E135 - E136</x:f>
      </x:c>
    </x:row>
    <x:row r="139" spans="1:9">
      <x:c r="A139" s="45" t="s">
        <x:v>97</x:v>
      </x:c>
      <x:c r="B139" s="45" t="s"/>
      <x:c r="C139" s="45" t="s"/>
      <x:c r="D139" s="45" t="s"/>
      <x:c r="E139" s="45" t="s"/>
    </x:row>
    <x:row r="140" spans="1:9">
      <x:c r="A140" s="46" t="s">
        <x:v>98</x:v>
      </x:c>
      <x:c r="B140" s="46" t="s">
        <x:v>72</x:v>
      </x:c>
      <x:c r="C140" s="46" t="s">
        <x:v>73</x:v>
      </x:c>
      <x:c r="D140" s="46" t="s">
        <x:v>74</x:v>
      </x:c>
      <x:c r="E140" s="47" t="s">
        <x:v>75</x:v>
      </x:c>
    </x:row>
    <x:row r="141" spans="1:9">
      <x:c r="A141" s="1" t="s">
        <x:v>76</x:v>
      </x:c>
      <x:c r="B141" s="48" t="n">
        <x:v>763.87</x:v>
      </x:c>
      <x:c r="C141" s="48" t="n">
        <x:v>1602047.7</x:v>
      </x:c>
      <x:c r="D141" s="48" t="n">
        <x:v>16182.3</x:v>
      </x:c>
      <x:c r="E141" s="49" t="n">
        <x:v>1618230</x:v>
      </x:c>
    </x:row>
    <x:row r="142" spans="1:9">
      <x:c r="A142" s="1" t="s">
        <x:v>77</x:v>
      </x:c>
      <x:c r="B142" s="48" t="n">
        <x:v>0</x:v>
      </x:c>
      <x:c r="C142" s="48" t="n">
        <x:v>0</x:v>
      </x:c>
      <x:c r="D142" s="48" t="n">
        <x:v>0</x:v>
      </x:c>
      <x:c r="E142" s="49" t="n">
        <x:v>0</x:v>
      </x:c>
    </x:row>
    <x:row r="143" spans="1:9">
      <x:c r="A143" s="1" t="s">
        <x:v>90</x:v>
      </x:c>
      <x:c r="B143" s="48" t="n">
        <x:v>383.81</x:v>
      </x:c>
      <x:c r="C143" s="48" t="n">
        <x:v>804967.59</x:v>
      </x:c>
      <x:c r="D143" s="48" t="n">
        <x:v>8130.97</x:v>
      </x:c>
      <x:c r="E143" s="49" t="n">
        <x:v>813098.56</x:v>
      </x:c>
    </x:row>
    <x:row r="144" spans="1:9">
      <x:c r="A144" s="1" t="s">
        <x:v>78</x:v>
      </x:c>
      <x:c r="B144" s="48" t="n">
        <x:v>380.06</x:v>
      </x:c>
      <x:c r="C144" s="48" t="n">
        <x:v>774783.51</x:v>
      </x:c>
      <x:c r="D144" s="48" t="n">
        <x:v>0</x:v>
      </x:c>
      <x:c r="E144" s="49" t="n">
        <x:v>774783.51</x:v>
      </x:c>
    </x:row>
    <x:row r="145" spans="1:9">
      <x:c r="A145" s="1" t="s">
        <x:v>79</x:v>
      </x:c>
      <x:c r="B145" s="48" t="n">
        <x:v>0</x:v>
      </x:c>
      <x:c r="C145" s="48" t="n">
        <x:v>0</x:v>
      </x:c>
      <x:c r="D145" s="48" t="n">
        <x:v>0</x:v>
      </x:c>
      <x:c r="E145" s="49" t="n">
        <x:v>0</x:v>
      </x:c>
    </x:row>
    <x:row r="146" spans="1:9">
      <x:c r="A146" s="1" t="s">
        <x:v>81</x:v>
      </x:c>
      <x:c r="B146" s="48" t="n">
        <x:v>0</x:v>
      </x:c>
      <x:c r="C146" s="48" t="n">
        <x:v>22296.6</x:v>
      </x:c>
      <x:c r="D146" s="48" t="n">
        <x:v>8051.33</x:v>
      </x:c>
      <x:c r="E146" s="49" t="n">
        <x:v>30347.93</x:v>
      </x:c>
    </x:row>
    <x:row r="147" spans="1:9">
      <x:c r="A147" s="1" t="s">
        <x:v>82</x:v>
      </x:c>
      <x:c r="B147" s="48" t="n">
        <x:v>0</x:v>
      </x:c>
      <x:c r="C147" s="48" t="n">
        <x:v>3950.43</x:v>
      </x:c>
      <x:c r="D147" s="48" t="n">
        <x:v>26397.5</x:v>
      </x:c>
      <x:c r="E147" s="49" t="n">
        <x:v>30347.93</x:v>
      </x:c>
    </x:row>
    <x:row r="148" spans="1:9">
      <x:c r="A148" s="50" t="s">
        <x:v>83</x:v>
      </x:c>
      <x:c r="B148" s="51">
        <x:f>B146 - B147</x:f>
      </x:c>
      <x:c r="C148" s="51">
        <x:f>C146 - C147</x:f>
      </x:c>
      <x:c r="D148" s="51">
        <x:f>D146 - D147</x:f>
      </x:c>
      <x:c r="E148" s="52">
        <x:f>E146 - E147</x:f>
      </x:c>
    </x:row>
    <x:row r="150" spans="1:9">
      <x:c r="A150" s="45" t="s">
        <x:v>99</x:v>
      </x:c>
      <x:c r="B150" s="45" t="s"/>
      <x:c r="C150" s="45" t="s"/>
      <x:c r="D150" s="45" t="s"/>
      <x:c r="E150" s="45" t="s"/>
    </x:row>
    <x:row r="151" spans="1:9">
      <x:c r="A151" s="46" t="s">
        <x:v>100</x:v>
      </x:c>
      <x:c r="B151" s="46" t="s">
        <x:v>72</x:v>
      </x:c>
      <x:c r="C151" s="46" t="s">
        <x:v>73</x:v>
      </x:c>
      <x:c r="D151" s="46" t="s">
        <x:v>74</x:v>
      </x:c>
      <x:c r="E151" s="47" t="s">
        <x:v>75</x:v>
      </x:c>
    </x:row>
    <x:row r="152" spans="1:9">
      <x:c r="A152" s="1" t="s">
        <x:v>76</x:v>
      </x:c>
      <x:c r="B152" s="48" t="n">
        <x:v>5542.57</x:v>
      </x:c>
      <x:c r="C152" s="48" t="n">
        <x:v>11732247.24</x:v>
      </x:c>
      <x:c r="D152" s="48" t="n">
        <x:v>118507.55</x:v>
      </x:c>
      <x:c r="E152" s="49" t="n">
        <x:v>11850754.79</x:v>
      </x:c>
    </x:row>
    <x:row r="153" spans="1:9">
      <x:c r="A153" s="1" t="s">
        <x:v>77</x:v>
      </x:c>
      <x:c r="B153" s="48" t="n">
        <x:v>0</x:v>
      </x:c>
      <x:c r="C153" s="48" t="n">
        <x:v>0</x:v>
      </x:c>
      <x:c r="D153" s="48" t="n">
        <x:v>0</x:v>
      </x:c>
      <x:c r="E153" s="49" t="n">
        <x:v>0</x:v>
      </x:c>
    </x:row>
    <x:row r="154" spans="1:9">
      <x:c r="A154" s="1" t="s">
        <x:v>90</x:v>
      </x:c>
      <x:c r="B154" s="48" t="n">
        <x:v>5035.18</x:v>
      </x:c>
      <x:c r="C154" s="48" t="n">
        <x:v>10658226.55</x:v>
      </x:c>
      <x:c r="D154" s="48" t="n">
        <x:v>107658.86</x:v>
      </x:c>
      <x:c r="E154" s="49" t="n">
        <x:v>10765885.41</x:v>
      </x:c>
    </x:row>
    <x:row r="155" spans="1:9">
      <x:c r="A155" s="1" t="s">
        <x:v>78</x:v>
      </x:c>
      <x:c r="B155" s="48" t="n">
        <x:v>507.39</x:v>
      </x:c>
      <x:c r="C155" s="48" t="n">
        <x:v>1068846.52</x:v>
      </x:c>
      <x:c r="D155" s="48" t="n">
        <x:v>0</x:v>
      </x:c>
      <x:c r="E155" s="49" t="n">
        <x:v>1068846.52</x:v>
      </x:c>
    </x:row>
    <x:row r="156" spans="1:9">
      <x:c r="A156" s="1" t="s">
        <x:v>79</x:v>
      </x:c>
      <x:c r="B156" s="48" t="n">
        <x:v>0</x:v>
      </x:c>
      <x:c r="C156" s="48" t="n">
        <x:v>0</x:v>
      </x:c>
      <x:c r="D156" s="48" t="n">
        <x:v>0</x:v>
      </x:c>
      <x:c r="E156" s="49" t="n">
        <x:v>0</x:v>
      </x:c>
    </x:row>
    <x:row r="157" spans="1:9">
      <x:c r="A157" s="1" t="s">
        <x:v>81</x:v>
      </x:c>
      <x:c r="B157" s="48" t="n">
        <x:v>0</x:v>
      </x:c>
      <x:c r="C157" s="48" t="n">
        <x:v>5174.17</x:v>
      </x:c>
      <x:c r="D157" s="48" t="n">
        <x:v>10848.69</x:v>
      </x:c>
      <x:c r="E157" s="49" t="n">
        <x:v>16022.86</x:v>
      </x:c>
    </x:row>
    <x:row r="158" spans="1:9">
      <x:c r="A158" s="1" t="s">
        <x:v>82</x:v>
      </x:c>
      <x:c r="B158" s="48" t="n">
        <x:v>0</x:v>
      </x:c>
      <x:c r="C158" s="48" t="n">
        <x:v>5174.17</x:v>
      </x:c>
      <x:c r="D158" s="48" t="n">
        <x:v>10848.69</x:v>
      </x:c>
      <x:c r="E158" s="49" t="n">
        <x:v>16022.86</x:v>
      </x:c>
    </x:row>
    <x:row r="159" spans="1:9">
      <x:c r="A159" s="50" t="s">
        <x:v>83</x:v>
      </x:c>
      <x:c r="B159" s="51">
        <x:f>B157 - B158</x:f>
      </x:c>
      <x:c r="C159" s="51">
        <x:f>C157 - C158</x:f>
      </x:c>
      <x:c r="D159" s="51">
        <x:f>D157 - D158</x:f>
      </x:c>
      <x:c r="E159" s="52">
        <x:f>E157 - E158</x:f>
      </x:c>
    </x:row>
    <x:row r="161" spans="1:9">
      <x:c r="A161" s="45" t="s">
        <x:v>101</x:v>
      </x:c>
      <x:c r="B161" s="45" t="s"/>
      <x:c r="C161" s="45" t="s"/>
      <x:c r="D161" s="45" t="s"/>
      <x:c r="E161" s="45" t="s"/>
    </x:row>
    <x:row r="162" spans="1:9">
      <x:c r="A162" s="46" t="s">
        <x:v>102</x:v>
      </x:c>
      <x:c r="B162" s="46" t="s">
        <x:v>72</x:v>
      </x:c>
      <x:c r="C162" s="46" t="s">
        <x:v>73</x:v>
      </x:c>
      <x:c r="D162" s="46" t="s">
        <x:v>74</x:v>
      </x:c>
      <x:c r="E162" s="47" t="s">
        <x:v>75</x:v>
      </x:c>
    </x:row>
    <x:row r="163" spans="1:9">
      <x:c r="A163" s="1" t="s">
        <x:v>76</x:v>
      </x:c>
      <x:c r="B163" s="48" t="n">
        <x:v>11505.84</x:v>
      </x:c>
      <x:c r="C163" s="48" t="n">
        <x:v>24473081.4</x:v>
      </x:c>
      <x:c r="D163" s="48" t="n">
        <x:v>247202.82</x:v>
      </x:c>
      <x:c r="E163" s="49" t="n">
        <x:v>24720284.22</x:v>
      </x:c>
    </x:row>
    <x:row r="164" spans="1:9">
      <x:c r="A164" s="1" t="s">
        <x:v>77</x:v>
      </x:c>
      <x:c r="B164" s="48" t="n">
        <x:v>0</x:v>
      </x:c>
      <x:c r="C164" s="48" t="n">
        <x:v>0</x:v>
      </x:c>
      <x:c r="D164" s="48" t="n">
        <x:v>0</x:v>
      </x:c>
      <x:c r="E164" s="49" t="n">
        <x:v>0</x:v>
      </x:c>
    </x:row>
    <x:row r="165" spans="1:9">
      <x:c r="A165" s="1" t="s">
        <x:v>90</x:v>
      </x:c>
      <x:c r="B165" s="48" t="n">
        <x:v>5880.52</x:v>
      </x:c>
      <x:c r="C165" s="48" t="n">
        <x:v>12507930.45</x:v>
      </x:c>
      <x:c r="D165" s="48" t="n">
        <x:v>126342.75</x:v>
      </x:c>
      <x:c r="E165" s="49" t="n">
        <x:v>12634273.2</x:v>
      </x:c>
    </x:row>
    <x:row r="166" spans="1:9">
      <x:c r="A166" s="1" t="s">
        <x:v>78</x:v>
      </x:c>
      <x:c r="B166" s="48" t="n">
        <x:v>5625.32</x:v>
      </x:c>
      <x:c r="C166" s="48" t="n">
        <x:v>8484114.97</x:v>
      </x:c>
      <x:c r="D166" s="48" t="n">
        <x:v>0</x:v>
      </x:c>
      <x:c r="E166" s="49" t="n">
        <x:v>8484114.97</x:v>
      </x:c>
    </x:row>
    <x:row r="167" spans="1:9">
      <x:c r="A167" s="1" t="s">
        <x:v>79</x:v>
      </x:c>
      <x:c r="B167" s="48" t="n">
        <x:v>0</x:v>
      </x:c>
      <x:c r="C167" s="48" t="n">
        <x:v>0</x:v>
      </x:c>
      <x:c r="D167" s="48" t="n">
        <x:v>0</x:v>
      </x:c>
      <x:c r="E167" s="49" t="n">
        <x:v>0</x:v>
      </x:c>
    </x:row>
    <x:row r="168" spans="1:9">
      <x:c r="A168" s="1" t="s">
        <x:v>81</x:v>
      </x:c>
      <x:c r="B168" s="48" t="n">
        <x:v>0</x:v>
      </x:c>
      <x:c r="C168" s="48" t="n">
        <x:v>3481035.98</x:v>
      </x:c>
      <x:c r="D168" s="48" t="n">
        <x:v>120860.07</x:v>
      </x:c>
      <x:c r="E168" s="49" t="n">
        <x:v>3601896.05</x:v>
      </x:c>
    </x:row>
    <x:row r="169" spans="1:9">
      <x:c r="A169" s="1" t="s">
        <x:v>82</x:v>
      </x:c>
      <x:c r="B169" s="48" t="n">
        <x:v>0</x:v>
      </x:c>
      <x:c r="C169" s="48" t="n">
        <x:v>1794026.75</x:v>
      </x:c>
      <x:c r="D169" s="48" t="n">
        <x:v>1807869.3</x:v>
      </x:c>
      <x:c r="E169" s="49" t="n">
        <x:v>3601896.05</x:v>
      </x:c>
    </x:row>
    <x:row r="170" spans="1:9">
      <x:c r="A170" s="50" t="s">
        <x:v>83</x:v>
      </x:c>
      <x:c r="B170" s="51">
        <x:f>B168 - B169</x:f>
      </x:c>
      <x:c r="C170" s="51">
        <x:f>C168 - C169</x:f>
      </x:c>
      <x:c r="D170" s="51">
        <x:f>D168 - D169</x:f>
      </x:c>
      <x:c r="E170" s="52">
        <x:f>E168 - E169</x:f>
      </x:c>
    </x:row>
    <x:row r="172" spans="1:9">
      <x:c r="A172" s="45" t="s">
        <x:v>103</x:v>
      </x:c>
      <x:c r="B172" s="45" t="s"/>
      <x:c r="C172" s="45" t="s"/>
      <x:c r="D172" s="45" t="s"/>
      <x:c r="E172" s="45" t="s"/>
    </x:row>
    <x:row r="173" spans="1:9">
      <x:c r="A173" s="46" t="s">
        <x:v>104</x:v>
      </x:c>
      <x:c r="B173" s="46" t="s">
        <x:v>72</x:v>
      </x:c>
      <x:c r="C173" s="46" t="s">
        <x:v>73</x:v>
      </x:c>
      <x:c r="D173" s="46" t="s">
        <x:v>74</x:v>
      </x:c>
      <x:c r="E173" s="47" t="s">
        <x:v>75</x:v>
      </x:c>
    </x:row>
    <x:row r="174" spans="1:9">
      <x:c r="A174" s="1" t="s">
        <x:v>76</x:v>
      </x:c>
      <x:c r="B174" s="48" t="n">
        <x:v>6196.08</x:v>
      </x:c>
      <x:c r="C174" s="48" t="n">
        <x:v>13176607.26</x:v>
      </x:c>
      <x:c r="D174" s="48" t="n">
        <x:v>133097.05</x:v>
      </x:c>
      <x:c r="E174" s="49" t="n">
        <x:v>13309704.31</x:v>
      </x:c>
    </x:row>
    <x:row r="175" spans="1:9">
      <x:c r="A175" s="1" t="s">
        <x:v>77</x:v>
      </x:c>
      <x:c r="B175" s="48" t="n">
        <x:v>0</x:v>
      </x:c>
      <x:c r="C175" s="48" t="n">
        <x:v>0</x:v>
      </x:c>
      <x:c r="D175" s="48" t="n">
        <x:v>0</x:v>
      </x:c>
      <x:c r="E175" s="49" t="n">
        <x:v>0</x:v>
      </x:c>
    </x:row>
    <x:row r="176" spans="1:9">
      <x:c r="A176" s="1" t="s">
        <x:v>90</x:v>
      </x:c>
      <x:c r="B176" s="48" t="n">
        <x:v>6196.08</x:v>
      </x:c>
      <x:c r="C176" s="48" t="n">
        <x:v>13176607.26</x:v>
      </x:c>
      <x:c r="D176" s="48" t="n">
        <x:v>133097.05</x:v>
      </x:c>
      <x:c r="E176" s="49" t="n">
        <x:v>13309704.31</x:v>
      </x:c>
    </x:row>
    <x:row r="177" spans="1:9">
      <x:c r="A177" s="1" t="s">
        <x:v>78</x:v>
      </x:c>
      <x:c r="B177" s="48" t="n">
        <x:v>0</x:v>
      </x:c>
      <x:c r="C177" s="48" t="n">
        <x:v>0</x:v>
      </x:c>
      <x:c r="D177" s="48" t="n">
        <x:v>0</x:v>
      </x:c>
      <x:c r="E177" s="49" t="n">
        <x:v>0</x:v>
      </x:c>
    </x:row>
    <x:row r="178" spans="1:9">
      <x:c r="A178" s="1" t="s">
        <x:v>79</x:v>
      </x:c>
      <x:c r="B178" s="48" t="n">
        <x:v>0</x:v>
      </x:c>
      <x:c r="C178" s="48" t="n">
        <x:v>0</x:v>
      </x:c>
      <x:c r="D178" s="48" t="n">
        <x:v>0</x:v>
      </x:c>
      <x:c r="E178" s="49" t="n">
        <x:v>0</x:v>
      </x:c>
    </x:row>
    <x:row r="179" spans="1:9">
      <x:c r="A179" s="1" t="s">
        <x:v>81</x:v>
      </x:c>
      <x:c r="B179" s="48" t="n">
        <x:v>0</x:v>
      </x:c>
      <x:c r="C179" s="48" t="n">
        <x:v>0</x:v>
      </x:c>
      <x:c r="D179" s="48" t="n">
        <x:v>0</x:v>
      </x:c>
      <x:c r="E179" s="49" t="n">
        <x:v>0</x:v>
      </x:c>
    </x:row>
    <x:row r="180" spans="1:9">
      <x:c r="A180" s="1" t="s">
        <x:v>82</x:v>
      </x:c>
      <x:c r="B180" s="48" t="n">
        <x:v>0</x:v>
      </x:c>
      <x:c r="C180" s="48" t="n">
        <x:v>0</x:v>
      </x:c>
      <x:c r="D180" s="48" t="n">
        <x:v>0</x:v>
      </x:c>
      <x:c r="E180" s="49" t="n">
        <x:v>0</x:v>
      </x:c>
    </x:row>
    <x:row r="181" spans="1:9">
      <x:c r="A181" s="50" t="s">
        <x:v>83</x:v>
      </x:c>
      <x:c r="B181" s="51">
        <x:f>B179 - B180</x:f>
      </x:c>
      <x:c r="C181" s="51">
        <x:f>C179 - C180</x:f>
      </x:c>
      <x:c r="D181" s="51">
        <x:f>D179 - D180</x:f>
      </x:c>
      <x:c r="E181" s="52">
        <x:f>E179 - E180</x:f>
      </x:c>
    </x:row>
    <x:row r="183" spans="1:9">
      <x:c r="A183" s="45" t="s">
        <x:v>105</x:v>
      </x:c>
      <x:c r="B183" s="45" t="s"/>
      <x:c r="C183" s="45" t="s"/>
      <x:c r="D183" s="45" t="s"/>
      <x:c r="E183" s="45" t="s"/>
    </x:row>
    <x:row r="184" spans="1:9">
      <x:c r="A184" s="1" t="s">
        <x:v>106</x:v>
      </x:c>
      <x:c r="B184" s="53" t="s">
        <x:v>107</x:v>
      </x:c>
      <x:c r="C184" s="53" t="s"/>
      <x:c r="D184" s="53" t="s"/>
      <x:c r="E184" s="53" t="s"/>
    </x:row>
    <x:row r="185" spans="1:9">
      <x:c r="A185" s="1" t="s">
        <x:v>108</x:v>
      </x:c>
      <x:c r="B185" s="53" t="s">
        <x:v>109</x:v>
      </x:c>
      <x:c r="C185" s="53" t="s"/>
      <x:c r="D185" s="53" t="s"/>
      <x:c r="E185" s="53" t="s"/>
    </x:row>
    <x:row r="186" spans="1:9">
      <x:c r="A186" s="50" t="s">
        <x:v>110</x:v>
      </x:c>
      <x:c r="B186" s="54" t="s">
        <x:v>109</x:v>
      </x:c>
      <x:c r="C186" s="54" t="s"/>
      <x:c r="D186" s="54" t="s"/>
      <x:c r="E186" s="54" t="s"/>
    </x:row>
  </x:sheetData>
  <x:mergeCells count="64">
    <x:mergeCell ref="A1:C1"/>
    <x:mergeCell ref="B2:C2"/>
    <x:mergeCell ref="A3:C3"/>
    <x:mergeCell ref="B4:C4"/>
    <x:mergeCell ref="B5:C5"/>
    <x:mergeCell ref="B6:C6"/>
    <x:mergeCell ref="B7:C7"/>
    <x:mergeCell ref="B8:C8"/>
    <x:mergeCell ref="A13:C13"/>
    <x:mergeCell ref="B14:C14"/>
    <x:mergeCell ref="B15:C15"/>
    <x:mergeCell ref="B16:C16"/>
    <x:mergeCell ref="B17:C17"/>
    <x:mergeCell ref="B18:C18"/>
    <x:mergeCell ref="B19:C19"/>
    <x:mergeCell ref="B20:C20"/>
    <x:mergeCell ref="A21:C21"/>
    <x:mergeCell ref="B22:C22"/>
    <x:mergeCell ref="B23:C23"/>
    <x:mergeCell ref="B24:C24"/>
    <x:mergeCell ref="B25:C25"/>
    <x:mergeCell ref="B33:C33"/>
    <x:mergeCell ref="A34:C34"/>
    <x:mergeCell ref="A35:G35"/>
    <x:mergeCell ref="A36:G36"/>
    <x:mergeCell ref="A37:A38"/>
    <x:mergeCell ref="B37:C38"/>
    <x:mergeCell ref="D37:D38"/>
    <x:mergeCell ref="E37:E38"/>
    <x:mergeCell ref="F37:G37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A60:E60"/>
    <x:mergeCell ref="A62:E62"/>
    <x:mergeCell ref="A73:E73"/>
    <x:mergeCell ref="A84:E84"/>
    <x:mergeCell ref="A95:E95"/>
    <x:mergeCell ref="A106:E106"/>
    <x:mergeCell ref="A117:E117"/>
    <x:mergeCell ref="A128:E128"/>
    <x:mergeCell ref="A139:E139"/>
    <x:mergeCell ref="A150:E150"/>
    <x:mergeCell ref="A161:E161"/>
    <x:mergeCell ref="A172:E172"/>
    <x:mergeCell ref="A183:E183"/>
    <x:mergeCell ref="B184:E184"/>
    <x:mergeCell ref="B185:E185"/>
    <x:mergeCell ref="B186:E18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